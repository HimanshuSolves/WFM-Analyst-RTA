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defaultThemeVersion="166925"/>
  <mc:AlternateContent xmlns:mc="http://schemas.openxmlformats.org/markup-compatibility/2006">
    <mc:Choice Requires="x15">
      <x15ac:absPath xmlns:x15ac="http://schemas.microsoft.com/office/spreadsheetml/2010/11/ac" url="E:\1. DOCUMENTS\3. DATA ANALYST PROJECTS\WFM-Project\"/>
    </mc:Choice>
  </mc:AlternateContent>
  <xr:revisionPtr revIDLastSave="0" documentId="8_{AB468BB5-94C8-4E30-895F-94B42BA244A6}" xr6:coauthVersionLast="47" xr6:coauthVersionMax="47" xr10:uidLastSave="{00000000-0000-0000-0000-000000000000}"/>
  <bookViews>
    <workbookView xWindow="-108" yWindow="-108" windowWidth="23256" windowHeight="12456" xr2:uid="{52F08468-61AE-4DDC-95B0-0FFC3821DD96}"/>
  </bookViews>
  <sheets>
    <sheet name="WFM ANALYSIS" sheetId="2" r:id="rId1"/>
    <sheet name="WFM FORMULAS" sheetId="1" r:id="rId2"/>
    <sheet name="WFM CONCEPTS &amp; TERMINOLOGY" sheetId="3" r:id="rId3"/>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2" l="1"/>
  <c r="I3" i="2"/>
  <c r="D4" i="2" s="1"/>
  <c r="E4" i="2"/>
  <c r="C18" i="2"/>
  <c r="C9" i="2" s="1"/>
  <c r="C10" i="2" s="1"/>
  <c r="F18" i="2"/>
  <c r="C19" i="2"/>
  <c r="F19" i="2"/>
  <c r="C20" i="2"/>
  <c r="B24" i="2"/>
  <c r="E29" i="2"/>
  <c r="E30" i="2"/>
  <c r="I31" i="2"/>
  <c r="I32" i="2"/>
  <c r="I33" i="2"/>
  <c r="I34" i="2"/>
  <c r="B25" i="2" l="1"/>
  <c r="B32" i="2"/>
  <c r="B31" i="2"/>
  <c r="B35" i="2" s="1"/>
  <c r="B36" i="2" s="1"/>
  <c r="D8" i="2"/>
  <c r="E8" i="2"/>
  <c r="B8" i="2"/>
  <c r="B33" i="2"/>
  <c r="B34" i="2"/>
  <c r="G4" i="2"/>
  <c r="G8" i="2" s="1"/>
  <c r="C4" i="2"/>
  <c r="C8" i="2" s="1"/>
  <c r="F4" i="2"/>
  <c r="F8" i="2" s="1"/>
  <c r="B4" i="2"/>
  <c r="H4" i="2"/>
  <c r="H8" i="2" s="1"/>
  <c r="I8" i="2" l="1"/>
  <c r="I4" i="2"/>
</calcChain>
</file>

<file path=xl/sharedStrings.xml><?xml version="1.0" encoding="utf-8"?>
<sst xmlns="http://schemas.openxmlformats.org/spreadsheetml/2006/main" count="231" uniqueCount="197">
  <si>
    <t>Hold Time / Handle Time.</t>
  </si>
  <si>
    <t>Hold%</t>
  </si>
  <si>
    <t>(No of days employee present / Total no of days of attendance)</t>
  </si>
  <si>
    <t>Attendance</t>
  </si>
  <si>
    <r>
      <t>(</t>
    </r>
    <r>
      <rPr>
        <b/>
        <sz val="10"/>
        <color theme="1"/>
        <rFont val="Arial"/>
        <family val="2"/>
      </rPr>
      <t>Total Handle Time</t>
    </r>
    <r>
      <rPr>
        <sz val="10"/>
        <color theme="1"/>
        <rFont val="Arial"/>
        <family val="2"/>
      </rPr>
      <t>/Number of Calls Handled) × 100</t>
    </r>
  </si>
  <si>
    <t>AHT</t>
  </si>
  <si>
    <t>(Talk Time + Hold Time + Wrap Time(ACW))</t>
  </si>
  <si>
    <t>Total Handle Time</t>
  </si>
  <si>
    <t>(Total Productive Time) / (Total Paid Time) (A key metric for BPO efficiency)</t>
  </si>
  <si>
    <t>Agent Utilization</t>
  </si>
  <si>
    <r>
      <t>(</t>
    </r>
    <r>
      <rPr>
        <b/>
        <sz val="10"/>
        <color theme="1"/>
        <rFont val="Arial"/>
        <family val="2"/>
      </rPr>
      <t>Active Hours</t>
    </r>
    <r>
      <rPr>
        <sz val="10"/>
        <color theme="1"/>
        <rFont val="Arial"/>
        <family val="2"/>
      </rPr>
      <t>/Total Available Hours) ×100</t>
    </r>
  </si>
  <si>
    <t>Utilization Rate</t>
  </si>
  <si>
    <r>
      <t>(</t>
    </r>
    <r>
      <rPr>
        <b/>
        <sz val="10"/>
        <color theme="1"/>
        <rFont val="Arial"/>
        <family val="2"/>
      </rPr>
      <t>Total Handled Time</t>
    </r>
    <r>
      <rPr>
        <sz val="10"/>
        <color theme="1"/>
        <rFont val="Arial"/>
        <family val="2"/>
      </rPr>
      <t>/</t>
    </r>
    <r>
      <rPr>
        <b/>
        <sz val="10"/>
        <color theme="1"/>
        <rFont val="Arial"/>
        <family val="2"/>
      </rPr>
      <t>Total Available Time</t>
    </r>
    <r>
      <rPr>
        <sz val="10"/>
        <color theme="1"/>
        <rFont val="Arial"/>
        <family val="2"/>
      </rPr>
      <t>) ×100</t>
    </r>
  </si>
  <si>
    <t>Occupancy</t>
  </si>
  <si>
    <r>
      <t xml:space="preserve">(Aux Time + Breaks + </t>
    </r>
    <r>
      <rPr>
        <b/>
        <sz val="10"/>
        <color theme="1"/>
        <rFont val="Arial"/>
        <family val="2"/>
      </rPr>
      <t>Active Hours</t>
    </r>
    <r>
      <rPr>
        <sz val="10"/>
        <color theme="1"/>
        <rFont val="Arial"/>
        <family val="2"/>
      </rPr>
      <t>)</t>
    </r>
  </si>
  <si>
    <t>Total Available Hours</t>
  </si>
  <si>
    <t>(Avail Time + Talk time + Hold time + Wrap time)</t>
  </si>
  <si>
    <t>Active Hours</t>
  </si>
  <si>
    <t>Login Time - Break Time</t>
  </si>
  <si>
    <t>Total Available Time</t>
  </si>
  <si>
    <t>Talk Time + Hold Time + After Call Work</t>
  </si>
  <si>
    <t>Total Handled Time</t>
  </si>
  <si>
    <t>Required Employees = Present Employees / (1 - Shrinkage Rate)</t>
  </si>
  <si>
    <t>Required Employees Post Shrinkage</t>
  </si>
  <si>
    <t>Total Wait Time To Abandon Calls / Calls Abandoned.</t>
  </si>
  <si>
    <t>Average Abandon Time</t>
  </si>
  <si>
    <t>(Total Shrinkage Hours/Total Scheduled Hours) ×100</t>
  </si>
  <si>
    <t>Shrinkage</t>
  </si>
  <si>
    <t>(Unplanned Leave/Total Headcount)</t>
  </si>
  <si>
    <t>Unplanned Shrinkage</t>
  </si>
  <si>
    <t>(Planned Leaves + WO) / (Total Headcount)</t>
  </si>
  <si>
    <t>Planned Shrinkage</t>
  </si>
  <si>
    <t>Calls Abandon / Calls offered. (Disconnected by the caller before they can speak to an agent)</t>
  </si>
  <si>
    <t>Abandon %</t>
  </si>
  <si>
    <t>(Number of Interactions Met Target) / (Total Number of Interactions) (This is often client-specific)</t>
  </si>
  <si>
    <t>Service Level</t>
  </si>
  <si>
    <t>Real-Time Management (RTM) &amp; Reporting</t>
  </si>
  <si>
    <t>(Total Scheduled Hours / Hours Scheduled within Required Time) × 100 --- Higher values indicate better shift positioning</t>
  </si>
  <si>
    <t>Shift Alignment Score</t>
  </si>
  <si>
    <t>(Scheduled Hours at Peak / Required Hours at Peak ) × 100 --- Ideal coverage should be close to 100% to ensure proper staffing.</t>
  </si>
  <si>
    <t>Coverage Ratio</t>
  </si>
  <si>
    <t>( Actual Workload Handled / Scheduled Workforce Capacity ) * 100</t>
  </si>
  <si>
    <t>Scheduled Efficiency</t>
  </si>
  <si>
    <t>(Actual Worked Hours / Scheduled Hours) × 100</t>
  </si>
  <si>
    <t>Scheduled Attainment</t>
  </si>
  <si>
    <t>Total Scheduled Time − (Work Time + Break Time + Lunch Time + Meeting Time + Training Time)</t>
  </si>
  <si>
    <t>Scheduled Gap</t>
  </si>
  <si>
    <r>
      <t>Total Hours Supply Capacity/Day</t>
    </r>
    <r>
      <rPr>
        <sz val="10"/>
        <color theme="1"/>
        <rFont val="Arial"/>
        <family val="2"/>
      </rPr>
      <t xml:space="preserve"> * 7</t>
    </r>
  </si>
  <si>
    <t>Total Hours Supply Capacity / Week</t>
  </si>
  <si>
    <r>
      <t>(Number of Departures/</t>
    </r>
    <r>
      <rPr>
        <b/>
        <sz val="10"/>
        <color theme="1"/>
        <rFont val="Arial"/>
        <family val="2"/>
      </rPr>
      <t>Average Employees</t>
    </r>
    <r>
      <rPr>
        <sz val="10"/>
        <color theme="1"/>
        <rFont val="Arial"/>
        <family val="2"/>
      </rPr>
      <t>) × 100</t>
    </r>
  </si>
  <si>
    <t>Attrition Rate</t>
  </si>
  <si>
    <t>(Employees at Start+Employees at End) / 2</t>
  </si>
  <si>
    <t>Average Employees</t>
  </si>
  <si>
    <t>Scheduling</t>
  </si>
  <si>
    <r>
      <t xml:space="preserve">Agents Scheduled AWO </t>
    </r>
    <r>
      <rPr>
        <sz val="10"/>
        <color theme="1"/>
        <rFont val="Arial"/>
        <family val="2"/>
      </rPr>
      <t xml:space="preserve">* </t>
    </r>
    <r>
      <rPr>
        <b/>
        <sz val="10"/>
        <color theme="1"/>
        <rFont val="Arial"/>
        <family val="2"/>
      </rPr>
      <t>Total Hours Required/Agent</t>
    </r>
  </si>
  <si>
    <t>Total Hours Supply Capacity / Day</t>
  </si>
  <si>
    <t>(Total Hours Supply Capacity/Week)*(Volume Of The Day)</t>
  </si>
  <si>
    <t>Supply Hours</t>
  </si>
  <si>
    <t>(This is often vendor-specific)</t>
  </si>
  <si>
    <t>Total Hours Required / Agent</t>
  </si>
  <si>
    <r>
      <t>(</t>
    </r>
    <r>
      <rPr>
        <b/>
        <sz val="10"/>
        <color theme="1"/>
        <rFont val="Arial"/>
        <family val="2"/>
      </rPr>
      <t xml:space="preserve">Total Agents Available (In a LOB) </t>
    </r>
    <r>
      <rPr>
        <sz val="10"/>
        <color theme="1"/>
        <rFont val="Arial"/>
        <family val="2"/>
      </rPr>
      <t>* 5 / 7)</t>
    </r>
  </si>
  <si>
    <t>Agents Scheduled AWO</t>
  </si>
  <si>
    <t>Total Agents Available (In a LOB)</t>
  </si>
  <si>
    <t>Capacity Planning</t>
  </si>
  <si>
    <t>Sum of Daily Forecasts. To forecast weekly volume.</t>
  </si>
  <si>
    <t>Volume of the Week</t>
  </si>
  <si>
    <t>To forecast daily volume. (This is often client-specific)</t>
  </si>
  <si>
    <t>Volume of the Day</t>
  </si>
  <si>
    <t>Billable minutes/total worked time without training.</t>
  </si>
  <si>
    <t>Billing Yield</t>
  </si>
  <si>
    <t>BPOs might track shrinkage separately for different clients to better manage staffing needs.</t>
  </si>
  <si>
    <t>Shrinkage by Client</t>
  </si>
  <si>
    <t>BPOs might use weighted forecast accuracy to reflect the relative importance of different clients or services.</t>
  </si>
  <si>
    <t>Forecast Accuracy (Weighted)</t>
  </si>
  <si>
    <t>(Total Labor Costs) / (Total Number of Transactions) (Important for BPO profitability)</t>
  </si>
  <si>
    <t>Cost per Transaction</t>
  </si>
  <si>
    <t>(Forecasted Volume * AHT) / (Available Work Time per Employee * Occupancy) - A simplified version for estimating staffing needs</t>
  </si>
  <si>
    <t>Staffing Requirement</t>
  </si>
  <si>
    <t>A complex formula used to calculate the number of agents needed in a call center based on call volume, AHT, and desired service level. (Often implemented in WFM software)</t>
  </si>
  <si>
    <t>Erlang C Formula</t>
  </si>
  <si>
    <t>Forcasting</t>
  </si>
  <si>
    <t>Required Employees</t>
  </si>
  <si>
    <t>Shrinkage Rate</t>
  </si>
  <si>
    <t>Out-Of-Office Shrinkage</t>
  </si>
  <si>
    <t>Hold %</t>
  </si>
  <si>
    <t>In-Office Shrinkage</t>
  </si>
  <si>
    <t>Utilization</t>
  </si>
  <si>
    <t>Wrap time</t>
  </si>
  <si>
    <t>Week Off</t>
  </si>
  <si>
    <t>Hold Time</t>
  </si>
  <si>
    <t>SL</t>
  </si>
  <si>
    <t>Unplanned Leave</t>
  </si>
  <si>
    <t>Talk time</t>
  </si>
  <si>
    <t>Calls Abandoned in SL</t>
  </si>
  <si>
    <t>Planned Leave</t>
  </si>
  <si>
    <t>Avail Time</t>
  </si>
  <si>
    <t>Calls Abandoned</t>
  </si>
  <si>
    <t>System Issue</t>
  </si>
  <si>
    <t>Breaks</t>
  </si>
  <si>
    <t>Calls Answered in SL</t>
  </si>
  <si>
    <t>Coaching</t>
  </si>
  <si>
    <t>Aux Time</t>
  </si>
  <si>
    <t>Calls Answered</t>
  </si>
  <si>
    <t>Headcount Present</t>
  </si>
  <si>
    <t>Calls handled</t>
  </si>
  <si>
    <t>Calls Offered</t>
  </si>
  <si>
    <t>Total Headcount</t>
  </si>
  <si>
    <t>Reporting</t>
  </si>
  <si>
    <t>Service Level Calculation</t>
  </si>
  <si>
    <t>Real-Time Management (RTM)</t>
  </si>
  <si>
    <t>INTRA-DAY MANAGEMENT</t>
  </si>
  <si>
    <t>Scheduled Agents</t>
  </si>
  <si>
    <t>Agents needed</t>
  </si>
  <si>
    <t>Peak Hour</t>
  </si>
  <si>
    <t>Total Headcount (Current)</t>
  </si>
  <si>
    <t>Position Of Shifts</t>
  </si>
  <si>
    <t>Total Headcount (Start)</t>
  </si>
  <si>
    <t>SCHEDULING</t>
  </si>
  <si>
    <t>Sunday</t>
  </si>
  <si>
    <t>Saturday</t>
  </si>
  <si>
    <t>Friday</t>
  </si>
  <si>
    <t>Thursday</t>
  </si>
  <si>
    <t>Wednesday</t>
  </si>
  <si>
    <t>Tuesday</t>
  </si>
  <si>
    <t>Monday</t>
  </si>
  <si>
    <t>Day</t>
  </si>
  <si>
    <t>CAPACITY PLANNING</t>
  </si>
  <si>
    <t>Volume Of The Week</t>
  </si>
  <si>
    <t>Volume Of The Day</t>
  </si>
  <si>
    <t>FORCASTING</t>
  </si>
  <si>
    <t>KEY CONCEPTS</t>
  </si>
  <si>
    <t>Forecasting &gt; Capacity Planning &gt; Scheduling &gt; RTM &gt; MIS</t>
  </si>
  <si>
    <t>Forecasting</t>
  </si>
  <si>
    <t>Predicting future demand for your products or services. This is the foundation of WFM. Accurate forecasting is crucial for proper staffing. Different methods can be used, from simple trend analysis to complex statistical models.</t>
  </si>
  <si>
    <t>Forecasting Granularity</t>
  </si>
  <si>
    <t>BPO forecasting often requires a higher degree of granularity, potentially down to the interval level (e.g., 15-minute intervals) to accurately predict call volumes and staffing needs.</t>
  </si>
  <si>
    <t>Multi-Client Environment</t>
  </si>
  <si>
    <t>BPOs often manage multiple clients with varying needs and service level targets. This adds complexity to forecasting and scheduling.</t>
  </si>
  <si>
    <t>Cost Optimization</t>
  </si>
  <si>
    <t>BPOs are under constant pressure to minimize costs while meeting client SLAs. This makes efficient scheduling and resource utilization critical.</t>
  </si>
  <si>
    <t>Contractual Obligations</t>
  </si>
  <si>
    <t>BPO contracts typically include specific service level targets and penalties for failing to meet them. WFM processes must be designed to ensure compliance.</t>
  </si>
  <si>
    <t>Determining the optimal number of employees needed to meet the forecasted demand. This involves analyzing historical data, projected growth, and service level targets.</t>
  </si>
  <si>
    <t>A performance metric that measures how well customer demand is met. It's often expressed as a percentage of calls answered within a specific timeframe (e.g., 80% of calls answered within 20 seconds).</t>
  </si>
  <si>
    <t>Client Requirements</t>
  </si>
  <si>
    <t>BPO WFM is heavily driven by the Service Level Agreements (SLAs) and key performance indicators (KPIs) set by the client. These are paramount.</t>
  </si>
  <si>
    <t>Average Handle Time (AHT)</t>
  </si>
  <si>
    <t>The average time it takes to handle a transaction (e.g., a phone call, email, or chat). AHT is a key input for forecasting and scheduling.</t>
  </si>
  <si>
    <t>Creating work schedules that align with the forecasted demand. This involves assigning employees to specific shifts, tasks, and locations. Effective scheduling considers employee availability, skills, and preferences, while also minimizing costs and maximizing efficiency.</t>
  </si>
  <si>
    <t>The percentage of time that employees are actively engaged in work-related activities. High occupancy can indicate efficiency, but too high can lead to burnout.</t>
  </si>
  <si>
    <t>Adherence</t>
  </si>
  <si>
    <t>How well employees stick to their assigned schedules. Deviations from the schedule can impact service levels and efficiency.</t>
  </si>
  <si>
    <t>Time that employees are unavailable to work due to various reasons, such as breaks, meetings, training, vacations, or absenteeism. Shrinkage needs to be factored into capacity planning.</t>
  </si>
  <si>
    <t>Attrition Management</t>
  </si>
  <si>
    <t>BPOs often experience higher attrition rates than other industries. WFM processes must account for this and include strategies for rapid onboarding and training.</t>
  </si>
  <si>
    <t>A Scheduled Gap in WFM scheduling refers to the time interval between two scheduled activities or shifts where an agent is neither working nor on break. It usually occurs when shifts are broken into multiple segments or when there are idle periods between scheduled tasks.</t>
  </si>
  <si>
    <t>Scheduled Attainment is a key Workforce Management (WFM) metric that measures how well employees adhere to their scheduled hours. It evaluates whether agents are working their assigned shifts as planned, helping businesses ensure efficiency and workforce utilization.</t>
  </si>
  <si>
    <t>Schedule Efficiency in Workforce Management (WFM) refers to how effectively the scheduled workforce matches the forecasted workload. It aims to ensure that the right number of agents is scheduled at the right times to meet demand without overstaffing or understaffing.</t>
  </si>
  <si>
    <t>Position of Shifts</t>
  </si>
  <si>
    <t>The Position of Shifts in Workforce Management (WFM) refers to how shifts are allocated relative to forecasted demand. It ensures the right number of agents are scheduled at the right times to meet business needs while avoiding overstaffing or understaffing. Proper shift positioning is crucial for achieving Service Level (SL), Adherence, and Efficiency while keeping labor costs optimized.</t>
  </si>
  <si>
    <t>Real-Time Adherence (RTA)</t>
  </si>
  <si>
    <t>Monitoring employee adherence to schedules in real-time and making adjustments as needed.</t>
  </si>
  <si>
    <t>Service Level Adherence</t>
  </si>
  <si>
    <t>Meeting client SLAs is paramount. Real-time monitoring and proactive adjustments are crucial.</t>
  </si>
  <si>
    <t>Blended Agents</t>
  </si>
  <si>
    <t>Agents who are trained to handle interactions for multiple clients or across different channels (e.g., voice, email, chat). This requires sophisticated skill-based routing and scheduling.</t>
  </si>
  <si>
    <t>Performance Management</t>
  </si>
  <si>
    <t>Tracking individual and team performance against client KPIs is essential. This data is used to identify areas for improvement and optimize staffing levels.</t>
  </si>
  <si>
    <t>Forecast Accuracy</t>
  </si>
  <si>
    <t>Measures how close the forecasted demand is to the actual demand. Improving forecast accuracy is essential for effective WFM.</t>
  </si>
  <si>
    <t>TERMINOLOGY</t>
  </si>
  <si>
    <t>WFM</t>
  </si>
  <si>
    <t>Workforce Management</t>
  </si>
  <si>
    <t>Average Handle Time</t>
  </si>
  <si>
    <t>KPI</t>
  </si>
  <si>
    <t>Key Performance Indicator</t>
  </si>
  <si>
    <t>ACW</t>
  </si>
  <si>
    <t>After-Call Work</t>
  </si>
  <si>
    <t>SLA</t>
  </si>
  <si>
    <t>Service Level Agreement</t>
  </si>
  <si>
    <t>RTA</t>
  </si>
  <si>
    <t>Real-Time Adherence</t>
  </si>
  <si>
    <t>FCR</t>
  </si>
  <si>
    <t>First Contact Resolution</t>
  </si>
  <si>
    <t>ASA</t>
  </si>
  <si>
    <t>Average Speed of Answer</t>
  </si>
  <si>
    <t>AWO</t>
  </si>
  <si>
    <t>After Week Off</t>
  </si>
  <si>
    <t>SME</t>
  </si>
  <si>
    <t>Deputy Manager</t>
  </si>
  <si>
    <t>Operations Manager 1</t>
  </si>
  <si>
    <t>Operations Manager 2</t>
  </si>
  <si>
    <t>Associate Director</t>
  </si>
  <si>
    <t>CONTACT CENTER MIS (Management Information Systems)</t>
  </si>
  <si>
    <t>Assistant Manager</t>
  </si>
  <si>
    <t>D P E</t>
  </si>
  <si>
    <t>Agent Weekly Productive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</si>
</sst>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0"/>
      <color theme="1"/>
      <name val="Arial"/>
      <family val="2"/>
    </font>
    <font>
      <b/>
      <sz val="10"/>
      <color theme="1"/>
      <name val="Arial"/>
      <family val="2"/>
    </font>
    <font>
      <b/>
      <sz val="10"/>
      <color rgb="FFFFFFFF"/>
      <name val="Arial"/>
      <family val="2"/>
    </font>
    <font>
      <b/>
      <sz val="12"/>
      <color rgb="FFFFFFFF"/>
      <name val="Arial"/>
      <family val="2"/>
    </font>
    <font>
      <sz val="10"/>
      <color theme="1"/>
      <name val="Arial"/>
      <family val="2"/>
    </font>
    <font>
      <b/>
      <sz val="10"/>
      <color rgb="FFFFFFFF"/>
      <name val="Arial"/>
      <family val="2"/>
    </font>
    <font>
      <b/>
      <sz val="16"/>
      <color rgb="FFFFFFFF"/>
      <name val="Arial"/>
      <family val="2"/>
    </font>
  </fonts>
  <fills count="3">
    <fill>
      <patternFill patternType="none"/>
    </fill>
    <fill>
      <patternFill patternType="gray125"/>
    </fill>
    <fill>
      <patternFill patternType="solid">
        <fgColor rgb="FF783F04"/>
        <bgColor indexed="64"/>
      </patternFill>
    </fill>
  </fills>
  <borders count="32">
    <border>
      <left/>
      <right/>
      <top/>
      <bottom/>
      <diagonal/>
    </border>
    <border>
      <left style="thin">
        <color rgb="FFCCCCCC"/>
      </left>
      <right style="thin">
        <color rgb="FF000000"/>
      </right>
      <top style="thin">
        <color rgb="FFCCCCCC"/>
      </top>
      <bottom style="thin">
        <color rgb="FF000000"/>
      </bottom>
      <diagonal/>
    </border>
    <border>
      <left style="thin">
        <color rgb="FF000000"/>
      </left>
      <right style="thin">
        <color rgb="FFCCCCCC"/>
      </right>
      <top style="thin">
        <color rgb="FFCCCCCC"/>
      </top>
      <bottom style="thin">
        <color rgb="FF000000"/>
      </bottom>
      <diagonal/>
    </border>
    <border>
      <left style="thin">
        <color rgb="FFCCCCCC"/>
      </left>
      <right style="thin">
        <color rgb="FF000000"/>
      </right>
      <top style="thin">
        <color rgb="FFCCCCCC"/>
      </top>
      <bottom style="thin">
        <color rgb="FFCCCCCC"/>
      </bottom>
      <diagonal/>
    </border>
    <border>
      <left style="thin">
        <color rgb="FF000000"/>
      </left>
      <right style="thin">
        <color rgb="FFCCCCCC"/>
      </right>
      <top style="thin">
        <color rgb="FFCCCCCC"/>
      </top>
      <bottom style="thin">
        <color rgb="FFCCCCCC"/>
      </bottom>
      <diagonal/>
    </border>
    <border>
      <left style="thin">
        <color rgb="FF000000"/>
      </left>
      <right style="thin">
        <color rgb="FF000000"/>
      </right>
      <top style="thin">
        <color rgb="FFCCCCCC"/>
      </top>
      <bottom style="thin">
        <color rgb="FF000000"/>
      </bottom>
      <diagonal/>
    </border>
    <border>
      <left/>
      <right style="thin">
        <color rgb="FF000000"/>
      </right>
      <top style="thin">
        <color rgb="FFCCCCCC"/>
      </top>
      <bottom style="thin">
        <color rgb="FF000000"/>
      </bottom>
      <diagonal/>
    </border>
    <border>
      <left style="thin">
        <color rgb="FF000000"/>
      </left>
      <right/>
      <top style="thin">
        <color rgb="FFCCCCCC"/>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CCCCCC"/>
      </left>
      <right style="thin">
        <color rgb="FFFFFFFF"/>
      </right>
      <top style="thin">
        <color rgb="FFCCCCCC"/>
      </top>
      <bottom style="thin">
        <color rgb="FF000000"/>
      </bottom>
      <diagonal/>
    </border>
    <border>
      <left style="thin">
        <color rgb="FF000000"/>
      </left>
      <right style="thin">
        <color rgb="FFFFFFFF"/>
      </right>
      <top style="thin">
        <color rgb="FFCCCCCC"/>
      </top>
      <bottom style="thin">
        <color rgb="FF000000"/>
      </bottom>
      <diagonal/>
    </border>
    <border>
      <left style="thin">
        <color rgb="FFCCCCCC"/>
      </left>
      <right style="thin">
        <color rgb="FF000000"/>
      </right>
      <top style="thin">
        <color rgb="FFCCCCCC"/>
      </top>
      <bottom style="thin">
        <color rgb="FFFFFFFF"/>
      </bottom>
      <diagonal/>
    </border>
    <border>
      <left style="thin">
        <color rgb="FFCCCCCC"/>
      </left>
      <right style="thin">
        <color rgb="FFFFFFFF"/>
      </right>
      <top style="thin">
        <color rgb="FFCCCCCC"/>
      </top>
      <bottom style="thin">
        <color rgb="FFFFFFFF"/>
      </bottom>
      <diagonal/>
    </border>
    <border>
      <left style="thin">
        <color rgb="FF000000"/>
      </left>
      <right style="thin">
        <color rgb="FFFFFFFF"/>
      </right>
      <top style="thin">
        <color rgb="FFCCCCCC"/>
      </top>
      <bottom style="thin">
        <color rgb="FFFFFFFF"/>
      </bottom>
      <diagonal/>
    </border>
    <border>
      <left style="thin">
        <color rgb="FFCCCCCC"/>
      </left>
      <right/>
      <top style="thin">
        <color rgb="FFCCCCCC"/>
      </top>
      <bottom style="thin">
        <color rgb="FF000000"/>
      </bottom>
      <diagonal/>
    </border>
    <border>
      <left/>
      <right/>
      <top style="thin">
        <color rgb="FFCCCCCC"/>
      </top>
      <bottom style="thin">
        <color rgb="FF000000"/>
      </bottom>
      <diagonal/>
    </border>
    <border>
      <left style="thin">
        <color rgb="FFCCCCCC"/>
      </left>
      <right style="thin">
        <color rgb="FF000000"/>
      </right>
      <top style="thin">
        <color rgb="FF000000"/>
      </top>
      <bottom style="thin">
        <color rgb="FFFFFFFF"/>
      </bottom>
      <diagonal/>
    </border>
    <border>
      <left style="thin">
        <color rgb="FFCCCCCC"/>
      </left>
      <right style="thin">
        <color rgb="FFFFFFFF"/>
      </right>
      <top style="thin">
        <color rgb="FF000000"/>
      </top>
      <bottom style="thin">
        <color rgb="FFFFFFFF"/>
      </bottom>
      <diagonal/>
    </border>
    <border>
      <left/>
      <right/>
      <top style="thin">
        <color rgb="FF000000"/>
      </top>
      <bottom style="thin">
        <color rgb="FF000000"/>
      </bottom>
      <diagonal/>
    </border>
    <border>
      <left style="medium">
        <color rgb="FF000000"/>
      </left>
      <right/>
      <top style="medium">
        <color rgb="FF000000"/>
      </top>
      <bottom style="medium">
        <color rgb="FFCCCCCC"/>
      </bottom>
      <diagonal/>
    </border>
    <border>
      <left/>
      <right style="medium">
        <color rgb="FF000000"/>
      </right>
      <top style="medium">
        <color rgb="FF000000"/>
      </top>
      <bottom style="medium">
        <color rgb="FFCCCCCC"/>
      </bottom>
      <diagonal/>
    </border>
    <border>
      <left style="medium">
        <color rgb="FFCCCCCC"/>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000000"/>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top style="medium">
        <color rgb="FF000000"/>
      </top>
      <bottom style="medium">
        <color rgb="FF000000"/>
      </bottom>
      <diagonal/>
    </border>
    <border>
      <left/>
      <right style="medium">
        <color rgb="FFCCCCCC"/>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CCCCCC"/>
      </left>
      <right style="thin">
        <color rgb="FFFFFFFF"/>
      </right>
      <top style="thin">
        <color rgb="FFCCCCCC"/>
      </top>
      <bottom/>
      <diagonal/>
    </border>
  </borders>
  <cellStyleXfs count="1">
    <xf numFmtId="0" fontId="0" fillId="0" borderId="0"/>
  </cellStyleXfs>
  <cellXfs count="62">
    <xf numFmtId="0" fontId="0" fillId="0" borderId="0" xfId="0"/>
    <xf numFmtId="0" fontId="1" fillId="0" borderId="1" xfId="0" applyFont="1" applyBorder="1" applyAlignment="1">
      <alignment readingOrder="1"/>
    </xf>
    <xf numFmtId="0" fontId="1" fillId="0" borderId="2" xfId="0" applyFont="1" applyBorder="1" applyAlignment="1">
      <alignment readingOrder="1"/>
    </xf>
    <xf numFmtId="0" fontId="1" fillId="0" borderId="3" xfId="0" applyFont="1" applyBorder="1" applyAlignment="1">
      <alignment readingOrder="1"/>
    </xf>
    <xf numFmtId="0" fontId="1" fillId="0" borderId="4" xfId="0" applyFont="1" applyBorder="1" applyAlignment="1">
      <alignment readingOrder="1"/>
    </xf>
    <xf numFmtId="0" fontId="2" fillId="0" borderId="5" xfId="0" applyFont="1" applyBorder="1" applyAlignment="1">
      <alignment readingOrder="1"/>
    </xf>
    <xf numFmtId="0" fontId="2" fillId="0" borderId="1" xfId="0" applyFont="1" applyBorder="1" applyAlignment="1">
      <alignment readingOrder="1"/>
    </xf>
    <xf numFmtId="0" fontId="0" fillId="0" borderId="0" xfId="0" applyAlignment="1">
      <alignment vertical="center"/>
    </xf>
    <xf numFmtId="0" fontId="1" fillId="0" borderId="1" xfId="0" applyFont="1" applyBorder="1" applyAlignment="1">
      <alignment vertical="center" readingOrder="1"/>
    </xf>
    <xf numFmtId="0" fontId="1" fillId="0" borderId="10" xfId="0" applyFont="1" applyBorder="1" applyAlignment="1">
      <alignment vertical="center" readingOrder="1"/>
    </xf>
    <xf numFmtId="0" fontId="1" fillId="0" borderId="11" xfId="0" applyFont="1" applyBorder="1" applyAlignment="1">
      <alignment vertical="center" readingOrder="1"/>
    </xf>
    <xf numFmtId="0" fontId="1" fillId="0" borderId="12" xfId="0" applyFont="1" applyBorder="1" applyAlignment="1">
      <alignment vertical="center" readingOrder="1"/>
    </xf>
    <xf numFmtId="0" fontId="1" fillId="0" borderId="13" xfId="0" applyFont="1" applyBorder="1" applyAlignment="1">
      <alignment vertical="center" readingOrder="1"/>
    </xf>
    <xf numFmtId="0" fontId="1" fillId="0" borderId="14" xfId="0" applyFont="1" applyBorder="1" applyAlignment="1">
      <alignment vertical="center" readingOrder="1"/>
    </xf>
    <xf numFmtId="0" fontId="2" fillId="0" borderId="1" xfId="0" quotePrefix="1" applyFont="1" applyBorder="1" applyAlignment="1">
      <alignment horizontal="center" vertical="center" readingOrder="1"/>
    </xf>
    <xf numFmtId="0" fontId="2" fillId="0" borderId="5" xfId="0" applyFont="1" applyBorder="1" applyAlignment="1">
      <alignment vertical="center" readingOrder="1"/>
    </xf>
    <xf numFmtId="10" fontId="2" fillId="0" borderId="1" xfId="0" quotePrefix="1" applyNumberFormat="1" applyFont="1" applyBorder="1" applyAlignment="1">
      <alignment horizontal="center" vertical="center" readingOrder="1"/>
    </xf>
    <xf numFmtId="0" fontId="2" fillId="0" borderId="1" xfId="0" applyFont="1" applyBorder="1" applyAlignment="1">
      <alignment vertical="center" readingOrder="1"/>
    </xf>
    <xf numFmtId="0" fontId="1" fillId="0" borderId="1" xfId="0" applyFont="1" applyBorder="1" applyAlignment="1">
      <alignment horizontal="center" vertical="center" readingOrder="1"/>
    </xf>
    <xf numFmtId="0" fontId="1" fillId="0" borderId="5" xfId="0" applyFont="1" applyBorder="1" applyAlignment="1">
      <alignment vertical="center" readingOrder="1"/>
    </xf>
    <xf numFmtId="18" fontId="1" fillId="0" borderId="1" xfId="0" applyNumberFormat="1" applyFont="1" applyBorder="1" applyAlignment="1">
      <alignment horizontal="center" vertical="center" readingOrder="1"/>
    </xf>
    <xf numFmtId="0" fontId="3" fillId="2" borderId="1" xfId="0" quotePrefix="1" applyFont="1" applyFill="1" applyBorder="1" applyAlignment="1">
      <alignment horizontal="center" vertical="center" readingOrder="1"/>
    </xf>
    <xf numFmtId="2" fontId="2" fillId="0" borderId="1" xfId="0" quotePrefix="1" applyNumberFormat="1" applyFont="1" applyBorder="1" applyAlignment="1">
      <alignment horizontal="center" vertical="center" readingOrder="1"/>
    </xf>
    <xf numFmtId="0" fontId="3" fillId="2" borderId="5" xfId="0" applyFont="1" applyFill="1" applyBorder="1" applyAlignment="1">
      <alignment vertical="center" readingOrder="1"/>
    </xf>
    <xf numFmtId="0" fontId="1" fillId="2" borderId="1" xfId="0" applyFont="1" applyFill="1" applyBorder="1" applyAlignment="1">
      <alignment horizontal="center" vertical="center" readingOrder="1"/>
    </xf>
    <xf numFmtId="9" fontId="3" fillId="2" borderId="1" xfId="0" quotePrefix="1" applyNumberFormat="1" applyFont="1" applyFill="1" applyBorder="1" applyAlignment="1">
      <alignment horizontal="center" vertical="center" readingOrder="1"/>
    </xf>
    <xf numFmtId="0" fontId="1" fillId="0" borderId="17" xfId="0" applyFont="1" applyBorder="1" applyAlignment="1">
      <alignment vertical="center" readingOrder="1"/>
    </xf>
    <xf numFmtId="0" fontId="1" fillId="0" borderId="18" xfId="0" applyFont="1" applyBorder="1" applyAlignment="1">
      <alignment vertical="center" readingOrder="1"/>
    </xf>
    <xf numFmtId="0" fontId="5" fillId="0" borderId="25" xfId="0" applyFont="1" applyBorder="1" applyAlignment="1">
      <alignment vertical="center" wrapText="1"/>
    </xf>
    <xf numFmtId="0" fontId="6" fillId="2" borderId="24" xfId="0" applyFont="1" applyFill="1" applyBorder="1" applyAlignment="1">
      <alignment vertical="center"/>
    </xf>
    <xf numFmtId="0" fontId="6" fillId="2" borderId="25" xfId="0" applyFont="1" applyFill="1" applyBorder="1" applyAlignment="1">
      <alignment vertical="center"/>
    </xf>
    <xf numFmtId="0" fontId="5" fillId="0" borderId="26" xfId="0" applyFont="1" applyBorder="1" applyAlignment="1">
      <alignment vertical="center"/>
    </xf>
    <xf numFmtId="0" fontId="5" fillId="0" borderId="25" xfId="0" applyFont="1" applyBorder="1" applyAlignment="1">
      <alignment vertical="center"/>
    </xf>
    <xf numFmtId="0" fontId="2" fillId="0" borderId="15" xfId="0" quotePrefix="1" applyFont="1" applyBorder="1" applyAlignment="1">
      <alignment horizontal="center" vertical="center" readingOrder="1"/>
    </xf>
    <xf numFmtId="0" fontId="1" fillId="0" borderId="31" xfId="0" applyFont="1" applyBorder="1" applyAlignment="1">
      <alignment vertical="center" readingOrder="1"/>
    </xf>
    <xf numFmtId="0" fontId="1" fillId="0" borderId="7" xfId="0" applyFont="1" applyBorder="1" applyAlignment="1">
      <alignment vertical="center" readingOrder="1"/>
    </xf>
    <xf numFmtId="0" fontId="1" fillId="0" borderId="6" xfId="0" applyFont="1" applyBorder="1" applyAlignment="1">
      <alignment vertical="center" readingOrder="1"/>
    </xf>
    <xf numFmtId="0" fontId="3" fillId="2" borderId="15" xfId="0" applyFont="1" applyFill="1" applyBorder="1" applyAlignment="1">
      <alignment vertical="center" readingOrder="1"/>
    </xf>
    <xf numFmtId="0" fontId="3" fillId="2" borderId="6" xfId="0" applyFont="1" applyFill="1" applyBorder="1" applyAlignment="1">
      <alignment vertical="center" readingOrder="1"/>
    </xf>
    <xf numFmtId="0" fontId="4" fillId="2" borderId="9" xfId="0" applyFont="1" applyFill="1" applyBorder="1" applyAlignment="1">
      <alignment horizontal="center" vertical="center" readingOrder="1"/>
    </xf>
    <xf numFmtId="0" fontId="4" fillId="2" borderId="19" xfId="0" applyFont="1" applyFill="1" applyBorder="1" applyAlignment="1">
      <alignment horizontal="center" vertical="center" readingOrder="1"/>
    </xf>
    <xf numFmtId="0" fontId="4" fillId="2" borderId="8" xfId="0" applyFont="1" applyFill="1" applyBorder="1" applyAlignment="1">
      <alignment horizontal="center" vertical="center" readingOrder="1"/>
    </xf>
    <xf numFmtId="0" fontId="4" fillId="2" borderId="7" xfId="0" applyFont="1" applyFill="1" applyBorder="1" applyAlignment="1">
      <alignment horizontal="center" vertical="center" readingOrder="1"/>
    </xf>
    <xf numFmtId="0" fontId="4" fillId="2" borderId="16" xfId="0" applyFont="1" applyFill="1" applyBorder="1" applyAlignment="1">
      <alignment horizontal="center" vertical="center" readingOrder="1"/>
    </xf>
    <xf numFmtId="0" fontId="4" fillId="2" borderId="6" xfId="0" applyFont="1" applyFill="1" applyBorder="1" applyAlignment="1">
      <alignment horizontal="center" vertical="center" readingOrder="1"/>
    </xf>
    <xf numFmtId="0" fontId="2" fillId="0" borderId="7" xfId="0" applyFont="1" applyBorder="1" applyAlignment="1">
      <alignment vertical="center" readingOrder="1"/>
    </xf>
    <xf numFmtId="0" fontId="2" fillId="0" borderId="6" xfId="0" applyFont="1" applyBorder="1" applyAlignment="1">
      <alignment vertical="center" readingOrder="1"/>
    </xf>
    <xf numFmtId="0" fontId="3" fillId="2" borderId="7" xfId="0" applyFont="1" applyFill="1" applyBorder="1" applyAlignment="1">
      <alignment vertical="center" readingOrder="1"/>
    </xf>
    <xf numFmtId="0" fontId="3" fillId="2" borderId="7" xfId="0" applyFont="1" applyFill="1" applyBorder="1" applyAlignment="1">
      <alignment readingOrder="1"/>
    </xf>
    <xf numFmtId="0" fontId="3" fillId="2" borderId="6" xfId="0" applyFont="1" applyFill="1" applyBorder="1" applyAlignment="1">
      <alignment readingOrder="1"/>
    </xf>
    <xf numFmtId="0" fontId="3" fillId="2" borderId="9" xfId="0" applyFont="1" applyFill="1" applyBorder="1" applyAlignment="1">
      <alignment readingOrder="1"/>
    </xf>
    <xf numFmtId="0" fontId="3" fillId="2" borderId="8" xfId="0" applyFont="1" applyFill="1" applyBorder="1" applyAlignment="1">
      <alignment readingOrder="1"/>
    </xf>
    <xf numFmtId="0" fontId="1" fillId="0" borderId="7" xfId="0" applyFont="1" applyBorder="1" applyAlignment="1">
      <alignment readingOrder="1"/>
    </xf>
    <xf numFmtId="0" fontId="1" fillId="0" borderId="6" xfId="0" applyFont="1" applyBorder="1" applyAlignment="1">
      <alignment readingOrder="1"/>
    </xf>
    <xf numFmtId="0" fontId="5" fillId="0" borderId="27" xfId="0" applyFont="1" applyBorder="1" applyAlignment="1">
      <alignment vertical="center"/>
    </xf>
    <xf numFmtId="0" fontId="5" fillId="0" borderId="28" xfId="0" applyFont="1" applyBorder="1" applyAlignment="1">
      <alignment vertical="center"/>
    </xf>
    <xf numFmtId="0" fontId="7" fillId="2" borderId="20" xfId="0" applyFont="1" applyFill="1" applyBorder="1" applyAlignment="1">
      <alignment horizontal="center" vertical="center"/>
    </xf>
    <xf numFmtId="0" fontId="7" fillId="2" borderId="21" xfId="0" applyFont="1" applyFill="1" applyBorder="1" applyAlignment="1">
      <alignment horizontal="center" vertical="center"/>
    </xf>
    <xf numFmtId="0" fontId="5" fillId="0" borderId="22" xfId="0" applyFont="1" applyBorder="1" applyAlignment="1">
      <alignment vertical="center"/>
    </xf>
    <xf numFmtId="0" fontId="5" fillId="0" borderId="23" xfId="0" applyFont="1" applyBorder="1" applyAlignment="1">
      <alignment vertical="center"/>
    </xf>
    <xf numFmtId="0" fontId="6" fillId="2" borderId="29" xfId="0" applyFont="1" applyFill="1" applyBorder="1" applyAlignment="1">
      <alignment vertical="center"/>
    </xf>
    <xf numFmtId="0" fontId="6" fillId="2" borderId="30" xfId="0" applyFont="1" applyFill="1" applyBorder="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0BE4D-B225-4B72-8FA4-693420F7C738}">
  <sheetPr>
    <tabColor theme="5" tint="-0.499984740745262"/>
  </sheetPr>
  <dimension ref="A1:AZ1006"/>
  <sheetViews>
    <sheetView tabSelected="1" zoomScale="70" zoomScaleNormal="70" workbookViewId="0">
      <pane xSplit="9" topLeftCell="O1" activePane="topRight" state="frozen"/>
      <selection pane="topRight" activeCell="Q14" sqref="Q14"/>
    </sheetView>
  </sheetViews>
  <sheetFormatPr defaultColWidth="9.109375" defaultRowHeight="14.4" x14ac:dyDescent="0.3"/>
  <cols>
    <col min="1" max="1" width="23.21875" style="7" bestFit="1" customWidth="1"/>
    <col min="2" max="3" width="11.88671875" style="7" bestFit="1" customWidth="1"/>
    <col min="4" max="4" width="19.6640625" style="7" bestFit="1" customWidth="1"/>
    <col min="5" max="5" width="20.33203125" style="7" bestFit="1" customWidth="1"/>
    <col min="6" max="7" width="11.88671875" style="7" bestFit="1" customWidth="1"/>
    <col min="8" max="8" width="12.109375" style="7" bestFit="1" customWidth="1"/>
    <col min="9" max="9" width="8.109375" style="7" bestFit="1" customWidth="1"/>
    <col min="10" max="16384" width="9.109375" style="7"/>
  </cols>
  <sheetData>
    <row r="1" spans="1:52" ht="15.6" x14ac:dyDescent="0.3">
      <c r="A1" s="39" t="s">
        <v>129</v>
      </c>
      <c r="B1" s="40"/>
      <c r="C1" s="40"/>
      <c r="D1" s="40"/>
      <c r="E1" s="40"/>
      <c r="F1" s="40"/>
      <c r="G1" s="40"/>
      <c r="H1" s="40"/>
      <c r="I1" s="41"/>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6"/>
    </row>
    <row r="2" spans="1:52" x14ac:dyDescent="0.3">
      <c r="A2" s="23" t="s">
        <v>125</v>
      </c>
      <c r="B2" s="18" t="s">
        <v>124</v>
      </c>
      <c r="C2" s="18" t="s">
        <v>123</v>
      </c>
      <c r="D2" s="18" t="s">
        <v>122</v>
      </c>
      <c r="E2" s="18" t="s">
        <v>121</v>
      </c>
      <c r="F2" s="18" t="s">
        <v>120</v>
      </c>
      <c r="G2" s="18" t="s">
        <v>119</v>
      </c>
      <c r="H2" s="18" t="s">
        <v>118</v>
      </c>
      <c r="I2" s="21">
        <f>COUNTA(B2:H2)</f>
        <v>7</v>
      </c>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1"/>
    </row>
    <row r="3" spans="1:52" x14ac:dyDescent="0.3">
      <c r="A3" s="23" t="s">
        <v>128</v>
      </c>
      <c r="B3" s="18">
        <v>4</v>
      </c>
      <c r="C3" s="18">
        <v>6</v>
      </c>
      <c r="D3" s="18">
        <v>6</v>
      </c>
      <c r="E3" s="18">
        <v>6</v>
      </c>
      <c r="F3" s="18">
        <v>6</v>
      </c>
      <c r="G3" s="18">
        <v>5</v>
      </c>
      <c r="H3" s="18">
        <v>4</v>
      </c>
      <c r="I3" s="21">
        <f>SUM(B3:H3)+N("Sum Of Volume Of The Day")</f>
        <v>37</v>
      </c>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1"/>
    </row>
    <row r="4" spans="1:52" x14ac:dyDescent="0.3">
      <c r="A4" s="23" t="s">
        <v>127</v>
      </c>
      <c r="B4" s="16">
        <f t="shared" ref="B4:H4" si="0">B3/$I3+N("Volume Of The Day / Total Volume Of The Week")</f>
        <v>0.10810810810810811</v>
      </c>
      <c r="C4" s="16">
        <f t="shared" si="0"/>
        <v>0.16216216216216217</v>
      </c>
      <c r="D4" s="16">
        <f t="shared" si="0"/>
        <v>0.16216216216216217</v>
      </c>
      <c r="E4" s="16">
        <f t="shared" si="0"/>
        <v>0.16216216216216217</v>
      </c>
      <c r="F4" s="16">
        <f t="shared" si="0"/>
        <v>0.16216216216216217</v>
      </c>
      <c r="G4" s="16">
        <f t="shared" si="0"/>
        <v>0.13513513513513514</v>
      </c>
      <c r="H4" s="16">
        <f t="shared" si="0"/>
        <v>0.10810810810810811</v>
      </c>
      <c r="I4" s="25">
        <f>SUM(B4:H4)</f>
        <v>1</v>
      </c>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1"/>
    </row>
    <row r="5" spans="1:52" x14ac:dyDescent="0.3">
      <c r="A5" s="10"/>
      <c r="B5" s="9"/>
      <c r="C5" s="9"/>
      <c r="D5" s="9"/>
      <c r="E5" s="9"/>
      <c r="F5" s="9"/>
      <c r="G5" s="9"/>
      <c r="H5" s="9"/>
      <c r="I5" s="9"/>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1"/>
    </row>
    <row r="6" spans="1:52" ht="15.6" x14ac:dyDescent="0.3">
      <c r="A6" s="42" t="s">
        <v>126</v>
      </c>
      <c r="B6" s="43"/>
      <c r="C6" s="43"/>
      <c r="D6" s="43"/>
      <c r="E6" s="43"/>
      <c r="F6" s="43"/>
      <c r="G6" s="43"/>
      <c r="H6" s="43"/>
      <c r="I6" s="44"/>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1"/>
    </row>
    <row r="7" spans="1:52" x14ac:dyDescent="0.3">
      <c r="A7" s="23" t="s">
        <v>125</v>
      </c>
      <c r="B7" s="18" t="s">
        <v>124</v>
      </c>
      <c r="C7" s="18" t="s">
        <v>123</v>
      </c>
      <c r="D7" s="18" t="s">
        <v>122</v>
      </c>
      <c r="E7" s="18" t="s">
        <v>121</v>
      </c>
      <c r="F7" s="18" t="s">
        <v>120</v>
      </c>
      <c r="G7" s="18" t="s">
        <v>119</v>
      </c>
      <c r="H7" s="18" t="s">
        <v>118</v>
      </c>
      <c r="I7" s="24"/>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1"/>
    </row>
    <row r="8" spans="1:52" x14ac:dyDescent="0.3">
      <c r="A8" s="23" t="s">
        <v>57</v>
      </c>
      <c r="B8" s="22">
        <f t="shared" ref="B8:H8" si="1">$C$10*B4+N("(Total Hours Supply Capacity/Week)*(Volume Of The Day))")</f>
        <v>31.216216216216218</v>
      </c>
      <c r="C8" s="22">
        <f t="shared" si="1"/>
        <v>46.82432432432433</v>
      </c>
      <c r="D8" s="22">
        <f t="shared" si="1"/>
        <v>46.82432432432433</v>
      </c>
      <c r="E8" s="22">
        <f t="shared" si="1"/>
        <v>46.82432432432433</v>
      </c>
      <c r="F8" s="22">
        <f t="shared" si="1"/>
        <v>46.82432432432433</v>
      </c>
      <c r="G8" s="22">
        <f t="shared" si="1"/>
        <v>39.020270270270274</v>
      </c>
      <c r="H8" s="22">
        <f t="shared" si="1"/>
        <v>31.216216216216218</v>
      </c>
      <c r="I8" s="21">
        <f>SUM(B8:H8)</f>
        <v>288.75</v>
      </c>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1"/>
    </row>
    <row r="9" spans="1:52" x14ac:dyDescent="0.3">
      <c r="A9" s="45" t="s">
        <v>55</v>
      </c>
      <c r="B9" s="46"/>
      <c r="C9" s="14">
        <f>C18*C17+N("Agents Scheduled AWO * Total Hours Required/Agent")</f>
        <v>41.25</v>
      </c>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1"/>
    </row>
    <row r="10" spans="1:52" x14ac:dyDescent="0.3">
      <c r="A10" s="45" t="s">
        <v>48</v>
      </c>
      <c r="B10" s="46"/>
      <c r="C10" s="14">
        <f>C9*I2+N("(Total Hours Supply Capacity/Day) * 7")</f>
        <v>288.75</v>
      </c>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1"/>
    </row>
    <row r="11" spans="1:52" x14ac:dyDescent="0.3">
      <c r="A11" s="45" t="s">
        <v>196</v>
      </c>
      <c r="B11" s="46"/>
      <c r="C11" s="33"/>
      <c r="D11" s="34"/>
      <c r="E11" s="34"/>
      <c r="F11" s="34"/>
      <c r="G11" s="34"/>
      <c r="H11" s="34"/>
      <c r="I11" s="34"/>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1"/>
    </row>
    <row r="12" spans="1:52" x14ac:dyDescent="0.3">
      <c r="A12" s="10"/>
      <c r="B12" s="9"/>
      <c r="C12" s="9"/>
      <c r="D12" s="9"/>
      <c r="E12" s="9"/>
      <c r="F12" s="9"/>
      <c r="G12" s="9"/>
      <c r="H12" s="9"/>
      <c r="I12" s="9"/>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1"/>
    </row>
    <row r="13" spans="1:52" ht="15.6" x14ac:dyDescent="0.3">
      <c r="A13" s="42" t="s">
        <v>117</v>
      </c>
      <c r="B13" s="43"/>
      <c r="C13" s="43"/>
      <c r="D13" s="43"/>
      <c r="E13" s="43"/>
      <c r="F13" s="43"/>
      <c r="G13" s="43"/>
      <c r="H13" s="43"/>
      <c r="I13" s="44"/>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1"/>
    </row>
    <row r="14" spans="1:52" x14ac:dyDescent="0.3">
      <c r="A14" s="35" t="s">
        <v>116</v>
      </c>
      <c r="B14" s="36"/>
      <c r="C14" s="18">
        <v>250</v>
      </c>
      <c r="D14" s="11"/>
      <c r="E14" s="37" t="s">
        <v>115</v>
      </c>
      <c r="F14" s="38"/>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1"/>
    </row>
    <row r="15" spans="1:52" x14ac:dyDescent="0.3">
      <c r="A15" s="35" t="s">
        <v>114</v>
      </c>
      <c r="B15" s="36"/>
      <c r="C15" s="18">
        <v>220</v>
      </c>
      <c r="D15" s="11"/>
      <c r="E15" s="8" t="s">
        <v>113</v>
      </c>
      <c r="F15" s="20">
        <v>0.45833333333333331</v>
      </c>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1"/>
    </row>
    <row r="16" spans="1:52" x14ac:dyDescent="0.3">
      <c r="A16" s="35" t="s">
        <v>62</v>
      </c>
      <c r="B16" s="36"/>
      <c r="C16" s="18">
        <v>7</v>
      </c>
      <c r="D16" s="11"/>
      <c r="E16" s="8" t="s">
        <v>112</v>
      </c>
      <c r="F16" s="18">
        <v>40</v>
      </c>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1"/>
    </row>
    <row r="17" spans="1:52" x14ac:dyDescent="0.3">
      <c r="A17" s="35" t="s">
        <v>59</v>
      </c>
      <c r="B17" s="36"/>
      <c r="C17" s="18">
        <v>8.25</v>
      </c>
      <c r="D17" s="11"/>
      <c r="E17" s="8" t="s">
        <v>111</v>
      </c>
      <c r="F17" s="18">
        <v>38</v>
      </c>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1"/>
    </row>
    <row r="18" spans="1:52" x14ac:dyDescent="0.3">
      <c r="A18" s="45" t="s">
        <v>61</v>
      </c>
      <c r="B18" s="46"/>
      <c r="C18" s="14">
        <f>(C16*5/7)+N("(Total Agents Available (In a LOB)*5/7)")</f>
        <v>5</v>
      </c>
      <c r="D18" s="11"/>
      <c r="E18" s="17" t="s">
        <v>40</v>
      </c>
      <c r="F18" s="16">
        <f>(F17/F16) +N(("Scheduled Hours at Peak / Required Hours at Peak ) × 100"))</f>
        <v>0.95</v>
      </c>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1"/>
    </row>
    <row r="19" spans="1:52" x14ac:dyDescent="0.3">
      <c r="A19" s="45" t="s">
        <v>52</v>
      </c>
      <c r="B19" s="46"/>
      <c r="C19" s="14">
        <f>(C14+C15)/2+N("(Employees at Start+Employees at End) / 2")</f>
        <v>235</v>
      </c>
      <c r="D19" s="11"/>
      <c r="E19" s="17" t="s">
        <v>38</v>
      </c>
      <c r="F19" s="16">
        <f>(F17/F16)+N("(Total Scheduled Hours / Hours Scheduled within Required Time) × 100")</f>
        <v>0.95</v>
      </c>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1"/>
    </row>
    <row r="20" spans="1:52" x14ac:dyDescent="0.3">
      <c r="A20" s="45" t="s">
        <v>50</v>
      </c>
      <c r="B20" s="46"/>
      <c r="C20" s="16">
        <f>((C14-C15)/C19)+N("(Number of Departures/Average Employees) × 100")</f>
        <v>0.1276595744680851</v>
      </c>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1"/>
    </row>
    <row r="21" spans="1:52" x14ac:dyDescent="0.3">
      <c r="A21" s="10"/>
      <c r="B21" s="9"/>
      <c r="C21" s="9"/>
      <c r="D21" s="9"/>
      <c r="E21" s="9"/>
      <c r="F21" s="9"/>
      <c r="G21" s="9"/>
      <c r="H21" s="9"/>
      <c r="I21" s="9"/>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1"/>
    </row>
    <row r="22" spans="1:52" ht="15.6" x14ac:dyDescent="0.3">
      <c r="A22" s="42" t="s">
        <v>110</v>
      </c>
      <c r="B22" s="43"/>
      <c r="C22" s="43"/>
      <c r="D22" s="43"/>
      <c r="E22" s="43"/>
      <c r="F22" s="43"/>
      <c r="G22" s="43"/>
      <c r="H22" s="43"/>
      <c r="I22" s="44"/>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1"/>
    </row>
    <row r="23" spans="1:52" x14ac:dyDescent="0.3">
      <c r="A23" s="47" t="s">
        <v>109</v>
      </c>
      <c r="B23" s="38"/>
      <c r="C23" s="11"/>
      <c r="D23" s="37" t="s">
        <v>108</v>
      </c>
      <c r="E23" s="38"/>
      <c r="F23" s="12"/>
      <c r="G23" s="11"/>
      <c r="H23" s="37" t="s">
        <v>107</v>
      </c>
      <c r="I23" s="38"/>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1"/>
    </row>
    <row r="24" spans="1:52" x14ac:dyDescent="0.3">
      <c r="A24" s="15" t="s">
        <v>106</v>
      </c>
      <c r="B24" s="14">
        <f>C15</f>
        <v>220</v>
      </c>
      <c r="C24" s="11"/>
      <c r="D24" s="8" t="s">
        <v>105</v>
      </c>
      <c r="E24" s="18">
        <v>1000</v>
      </c>
      <c r="F24" s="12"/>
      <c r="G24" s="11"/>
      <c r="H24" s="8" t="s">
        <v>104</v>
      </c>
      <c r="I24" s="18">
        <v>1000</v>
      </c>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1"/>
    </row>
    <row r="25" spans="1:52" x14ac:dyDescent="0.3">
      <c r="A25" s="15" t="s">
        <v>103</v>
      </c>
      <c r="B25" s="14">
        <f>(B24-(B28+B29+B30))+N("(Total Headcount-(Planned Leave + Unplanned Leave + Week Off))")</f>
        <v>210</v>
      </c>
      <c r="C25" s="11"/>
      <c r="D25" s="8" t="s">
        <v>102</v>
      </c>
      <c r="E25" s="18">
        <v>900</v>
      </c>
      <c r="F25" s="12"/>
      <c r="G25" s="11"/>
      <c r="H25" s="8" t="s">
        <v>101</v>
      </c>
      <c r="I25" s="18">
        <v>100</v>
      </c>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1"/>
    </row>
    <row r="26" spans="1:52" x14ac:dyDescent="0.3">
      <c r="A26" s="19" t="s">
        <v>100</v>
      </c>
      <c r="B26" s="18">
        <v>4</v>
      </c>
      <c r="C26" s="11"/>
      <c r="D26" s="8" t="s">
        <v>99</v>
      </c>
      <c r="E26" s="18">
        <v>850</v>
      </c>
      <c r="F26" s="12"/>
      <c r="G26" s="11"/>
      <c r="H26" s="8" t="s">
        <v>98</v>
      </c>
      <c r="I26" s="18">
        <v>150</v>
      </c>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1"/>
    </row>
    <row r="27" spans="1:52" x14ac:dyDescent="0.3">
      <c r="A27" s="19" t="s">
        <v>97</v>
      </c>
      <c r="B27" s="18">
        <v>4</v>
      </c>
      <c r="C27" s="11"/>
      <c r="D27" s="8" t="s">
        <v>96</v>
      </c>
      <c r="E27" s="18">
        <v>50</v>
      </c>
      <c r="F27" s="12"/>
      <c r="G27" s="11"/>
      <c r="H27" s="8" t="s">
        <v>95</v>
      </c>
      <c r="I27" s="18">
        <v>4000</v>
      </c>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1"/>
    </row>
    <row r="28" spans="1:52" x14ac:dyDescent="0.3">
      <c r="A28" s="19" t="s">
        <v>94</v>
      </c>
      <c r="B28" s="18">
        <v>2</v>
      </c>
      <c r="C28" s="11"/>
      <c r="D28" s="8" t="s">
        <v>93</v>
      </c>
      <c r="E28" s="18">
        <v>20</v>
      </c>
      <c r="F28" s="12"/>
      <c r="G28" s="11"/>
      <c r="H28" s="8" t="s">
        <v>92</v>
      </c>
      <c r="I28" s="18">
        <v>3000</v>
      </c>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1"/>
    </row>
    <row r="29" spans="1:52" x14ac:dyDescent="0.3">
      <c r="A29" s="19" t="s">
        <v>91</v>
      </c>
      <c r="B29" s="18">
        <v>4</v>
      </c>
      <c r="C29" s="11"/>
      <c r="D29" s="17" t="s">
        <v>90</v>
      </c>
      <c r="E29" s="16">
        <f>(E26/E24)+N("(Calls Answered in SL / Calls Offered)")</f>
        <v>0.85</v>
      </c>
      <c r="F29" s="12"/>
      <c r="G29" s="11"/>
      <c r="H29" s="8" t="s">
        <v>89</v>
      </c>
      <c r="I29" s="18">
        <v>2000</v>
      </c>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1"/>
    </row>
    <row r="30" spans="1:52" x14ac:dyDescent="0.3">
      <c r="A30" s="19" t="s">
        <v>88</v>
      </c>
      <c r="B30" s="18">
        <v>4</v>
      </c>
      <c r="C30" s="11"/>
      <c r="D30" s="17" t="s">
        <v>33</v>
      </c>
      <c r="E30" s="16">
        <f>(E27/E24)+N("Calls Abandon / Calls offered. (Disconnected by the caller before they can speak to an agent)")</f>
        <v>0.05</v>
      </c>
      <c r="F30" s="12"/>
      <c r="G30" s="11"/>
      <c r="H30" s="8" t="s">
        <v>87</v>
      </c>
      <c r="I30" s="18">
        <v>15000</v>
      </c>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1"/>
    </row>
    <row r="31" spans="1:52" x14ac:dyDescent="0.3">
      <c r="A31" s="15" t="s">
        <v>31</v>
      </c>
      <c r="B31" s="16">
        <f>((B28+B30)/B24)+N("((Planned Leave + Week Off)/Total Headcount)")</f>
        <v>2.7272727272727271E-2</v>
      </c>
      <c r="C31" s="12"/>
      <c r="D31" s="12"/>
      <c r="E31" s="12"/>
      <c r="F31" s="12"/>
      <c r="G31" s="11"/>
      <c r="H31" s="17" t="s">
        <v>86</v>
      </c>
      <c r="I31" s="16">
        <f>(I27+I28+I29+I30)/(I25+I26+I27+I28+I29+I30)+N("(Avail Time + Talk time + Hold time + Wrap time)/(Aux Time + Breaks + Avail Time + Talk time + Hold time + Wrap time)")</f>
        <v>0.98969072164948457</v>
      </c>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1"/>
    </row>
    <row r="32" spans="1:52" x14ac:dyDescent="0.3">
      <c r="A32" s="15" t="s">
        <v>29</v>
      </c>
      <c r="B32" s="16">
        <f>(B29/B24)+N("(Unplanned Leave/Total Headcount)")</f>
        <v>1.8181818181818181E-2</v>
      </c>
      <c r="C32" s="12"/>
      <c r="D32" s="12"/>
      <c r="E32" s="12"/>
      <c r="F32" s="12"/>
      <c r="G32" s="11"/>
      <c r="H32" s="17" t="s">
        <v>13</v>
      </c>
      <c r="I32" s="16">
        <f>(I28+I29+I30)/(I27+I28+I29+I30)+N("(Talk Time + Hold Time + Wrap Time) / (Avail Time + Talk Time + Hold Time + Wrap Time)")</f>
        <v>0.83333333333333337</v>
      </c>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1"/>
    </row>
    <row r="33" spans="1:52" x14ac:dyDescent="0.3">
      <c r="A33" s="15" t="s">
        <v>85</v>
      </c>
      <c r="B33" s="16">
        <f>((B26+B27)/B25)+N("((Coaching+System Issue)/Headcount Present)")</f>
        <v>3.8095238095238099E-2</v>
      </c>
      <c r="C33" s="12"/>
      <c r="D33" s="12"/>
      <c r="E33" s="12"/>
      <c r="F33" s="12"/>
      <c r="G33" s="11"/>
      <c r="H33" s="17" t="s">
        <v>84</v>
      </c>
      <c r="I33" s="16">
        <f>I29/(I28+I29+I30)+N("(Hold Time / Handle Time)")</f>
        <v>0.1</v>
      </c>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1"/>
    </row>
    <row r="34" spans="1:52" x14ac:dyDescent="0.3">
      <c r="A34" s="15" t="s">
        <v>83</v>
      </c>
      <c r="B34" s="16">
        <f>((B28+B29)/B25)+N("((Planned Leave+Unplanned Leave)/Headcount Present)")</f>
        <v>2.8571428571428571E-2</v>
      </c>
      <c r="C34" s="12"/>
      <c r="D34" s="12"/>
      <c r="E34" s="12"/>
      <c r="F34" s="12"/>
      <c r="G34" s="11"/>
      <c r="H34" s="17" t="s">
        <v>5</v>
      </c>
      <c r="I34" s="14">
        <f>(I28+I29+I30)/(I24)+N("(Talk Time + Hold Time + Wrap Time) / (Calls Handled)")</f>
        <v>20</v>
      </c>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1"/>
    </row>
    <row r="35" spans="1:52" x14ac:dyDescent="0.3">
      <c r="A35" s="15" t="s">
        <v>82</v>
      </c>
      <c r="B35" s="16">
        <f>(B31+B32)+N("(Planned Shrinkage+Unplanned Shrinkage)")</f>
        <v>4.5454545454545456E-2</v>
      </c>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1"/>
    </row>
    <row r="36" spans="1:52" x14ac:dyDescent="0.3">
      <c r="A36" s="15" t="s">
        <v>81</v>
      </c>
      <c r="B36" s="14">
        <f>B25/(1-B35)+N("Headcount Present/(1-Shrinkage Rate)")</f>
        <v>220</v>
      </c>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1"/>
    </row>
    <row r="37" spans="1:52" x14ac:dyDescent="0.3">
      <c r="A37" s="13"/>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1"/>
    </row>
    <row r="38" spans="1:52" x14ac:dyDescent="0.3">
      <c r="A38" s="13"/>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1"/>
    </row>
    <row r="39" spans="1:52" x14ac:dyDescent="0.3">
      <c r="A39" s="13"/>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1"/>
    </row>
    <row r="40" spans="1:52" x14ac:dyDescent="0.3">
      <c r="A40" s="13"/>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1"/>
    </row>
    <row r="41" spans="1:52" x14ac:dyDescent="0.3">
      <c r="A41" s="13"/>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1"/>
    </row>
    <row r="42" spans="1:52" x14ac:dyDescent="0.3">
      <c r="A42" s="13"/>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1"/>
    </row>
    <row r="43" spans="1:52" x14ac:dyDescent="0.3">
      <c r="A43" s="13"/>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1"/>
    </row>
    <row r="44" spans="1:52" x14ac:dyDescent="0.3">
      <c r="A44" s="13"/>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1"/>
    </row>
    <row r="45" spans="1:52" x14ac:dyDescent="0.3">
      <c r="A45" s="13"/>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1"/>
    </row>
    <row r="46" spans="1:52" x14ac:dyDescent="0.3">
      <c r="A46" s="13"/>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1"/>
    </row>
    <row r="47" spans="1:52" x14ac:dyDescent="0.3">
      <c r="A47" s="13"/>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1"/>
    </row>
    <row r="48" spans="1:52" x14ac:dyDescent="0.3">
      <c r="A48" s="13"/>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1"/>
    </row>
    <row r="49" spans="1:52" x14ac:dyDescent="0.3">
      <c r="A49" s="13"/>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1"/>
    </row>
    <row r="50" spans="1:52" x14ac:dyDescent="0.3">
      <c r="A50" s="13"/>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1"/>
    </row>
    <row r="51" spans="1:52" x14ac:dyDescent="0.3">
      <c r="A51" s="13"/>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1"/>
    </row>
    <row r="52" spans="1:52" x14ac:dyDescent="0.3">
      <c r="A52" s="13"/>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1"/>
    </row>
    <row r="53" spans="1:52" x14ac:dyDescent="0.3">
      <c r="A53" s="13"/>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1"/>
    </row>
    <row r="54" spans="1:52" x14ac:dyDescent="0.3">
      <c r="A54" s="13"/>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1"/>
    </row>
    <row r="55" spans="1:52" x14ac:dyDescent="0.3">
      <c r="A55" s="13"/>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1"/>
    </row>
    <row r="56" spans="1:52" x14ac:dyDescent="0.3">
      <c r="A56" s="13"/>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1"/>
    </row>
    <row r="57" spans="1:52" x14ac:dyDescent="0.3">
      <c r="A57" s="13"/>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1"/>
    </row>
    <row r="58" spans="1:52" x14ac:dyDescent="0.3">
      <c r="A58" s="13"/>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1"/>
    </row>
    <row r="59" spans="1:52" x14ac:dyDescent="0.3">
      <c r="A59" s="13"/>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1"/>
    </row>
    <row r="60" spans="1:52" x14ac:dyDescent="0.3">
      <c r="A60" s="13"/>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1"/>
    </row>
    <row r="61" spans="1:52" x14ac:dyDescent="0.3">
      <c r="A61" s="13"/>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1"/>
    </row>
    <row r="62" spans="1:52" x14ac:dyDescent="0.3">
      <c r="A62" s="13"/>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1"/>
    </row>
    <row r="63" spans="1:52" x14ac:dyDescent="0.3">
      <c r="A63" s="13"/>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1"/>
    </row>
    <row r="64" spans="1:52" x14ac:dyDescent="0.3">
      <c r="A64" s="13"/>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1"/>
    </row>
    <row r="65" spans="1:52" x14ac:dyDescent="0.3">
      <c r="A65" s="13"/>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1"/>
    </row>
    <row r="66" spans="1:52" x14ac:dyDescent="0.3">
      <c r="A66" s="13"/>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1"/>
    </row>
    <row r="67" spans="1:52" x14ac:dyDescent="0.3">
      <c r="A67" s="13"/>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1"/>
    </row>
    <row r="68" spans="1:52" x14ac:dyDescent="0.3">
      <c r="A68" s="13"/>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1"/>
    </row>
    <row r="69" spans="1:52" x14ac:dyDescent="0.3">
      <c r="A69" s="13"/>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1"/>
    </row>
    <row r="70" spans="1:52" x14ac:dyDescent="0.3">
      <c r="A70" s="13"/>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1"/>
    </row>
    <row r="71" spans="1:52" x14ac:dyDescent="0.3">
      <c r="A71" s="13"/>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1"/>
    </row>
    <row r="72" spans="1:52" x14ac:dyDescent="0.3">
      <c r="A72" s="13"/>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1"/>
    </row>
    <row r="73" spans="1:52" x14ac:dyDescent="0.3">
      <c r="A73" s="13"/>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1"/>
    </row>
    <row r="74" spans="1:52" x14ac:dyDescent="0.3">
      <c r="A74" s="13"/>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1"/>
    </row>
    <row r="75" spans="1:52" x14ac:dyDescent="0.3">
      <c r="A75" s="13"/>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1"/>
    </row>
    <row r="76" spans="1:52" x14ac:dyDescent="0.3">
      <c r="A76" s="13"/>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1"/>
    </row>
    <row r="77" spans="1:52" x14ac:dyDescent="0.3">
      <c r="A77" s="13"/>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1"/>
    </row>
    <row r="78" spans="1:52" x14ac:dyDescent="0.3">
      <c r="A78" s="13"/>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1"/>
    </row>
    <row r="79" spans="1:52" x14ac:dyDescent="0.3">
      <c r="A79" s="13"/>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1"/>
    </row>
    <row r="80" spans="1:52" x14ac:dyDescent="0.3">
      <c r="A80" s="13"/>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1"/>
    </row>
    <row r="81" spans="1:52" x14ac:dyDescent="0.3">
      <c r="A81" s="13"/>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1"/>
    </row>
    <row r="82" spans="1:52" x14ac:dyDescent="0.3">
      <c r="A82" s="13"/>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1"/>
    </row>
    <row r="83" spans="1:52" x14ac:dyDescent="0.3">
      <c r="A83" s="13"/>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1"/>
    </row>
    <row r="84" spans="1:52" x14ac:dyDescent="0.3">
      <c r="A84" s="13"/>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1"/>
    </row>
    <row r="85" spans="1:52" x14ac:dyDescent="0.3">
      <c r="A85" s="13"/>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1"/>
    </row>
    <row r="86" spans="1:52" x14ac:dyDescent="0.3">
      <c r="A86" s="13"/>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1"/>
    </row>
    <row r="87" spans="1:52" x14ac:dyDescent="0.3">
      <c r="A87" s="13"/>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1"/>
    </row>
    <row r="88" spans="1:52" x14ac:dyDescent="0.3">
      <c r="A88" s="13"/>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1"/>
    </row>
    <row r="89" spans="1:52" x14ac:dyDescent="0.3">
      <c r="A89" s="13"/>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1"/>
    </row>
    <row r="90" spans="1:52" x14ac:dyDescent="0.3">
      <c r="A90" s="13"/>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1"/>
    </row>
    <row r="91" spans="1:52" x14ac:dyDescent="0.3">
      <c r="A91" s="13"/>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1"/>
    </row>
    <row r="92" spans="1:52" x14ac:dyDescent="0.3">
      <c r="A92" s="13"/>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1"/>
    </row>
    <row r="93" spans="1:52" x14ac:dyDescent="0.3">
      <c r="A93" s="13"/>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1"/>
    </row>
    <row r="94" spans="1:52" x14ac:dyDescent="0.3">
      <c r="A94" s="13"/>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1"/>
    </row>
    <row r="95" spans="1:52" x14ac:dyDescent="0.3">
      <c r="A95" s="13"/>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1"/>
    </row>
    <row r="96" spans="1:52" x14ac:dyDescent="0.3">
      <c r="A96" s="13"/>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1"/>
    </row>
    <row r="97" spans="1:52" x14ac:dyDescent="0.3">
      <c r="A97" s="13"/>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1"/>
    </row>
    <row r="98" spans="1:52" x14ac:dyDescent="0.3">
      <c r="A98" s="13"/>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1"/>
    </row>
    <row r="99" spans="1:52" x14ac:dyDescent="0.3">
      <c r="A99" s="13"/>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1"/>
    </row>
    <row r="100" spans="1:52" x14ac:dyDescent="0.3">
      <c r="A100" s="13"/>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1"/>
    </row>
    <row r="101" spans="1:52" x14ac:dyDescent="0.3">
      <c r="A101" s="13"/>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1"/>
    </row>
    <row r="102" spans="1:52" x14ac:dyDescent="0.3">
      <c r="A102" s="13"/>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1"/>
    </row>
    <row r="103" spans="1:52" x14ac:dyDescent="0.3">
      <c r="A103" s="13"/>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1"/>
    </row>
    <row r="104" spans="1:52" x14ac:dyDescent="0.3">
      <c r="A104" s="13"/>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1"/>
    </row>
    <row r="105" spans="1:52" x14ac:dyDescent="0.3">
      <c r="A105" s="13"/>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1"/>
    </row>
    <row r="106" spans="1:52" x14ac:dyDescent="0.3">
      <c r="A106" s="13"/>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1"/>
    </row>
    <row r="107" spans="1:52" x14ac:dyDescent="0.3">
      <c r="A107" s="13"/>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1"/>
    </row>
    <row r="108" spans="1:52" x14ac:dyDescent="0.3">
      <c r="A108" s="13"/>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1"/>
    </row>
    <row r="109" spans="1:52" x14ac:dyDescent="0.3">
      <c r="A109" s="13"/>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1"/>
    </row>
    <row r="110" spans="1:52" x14ac:dyDescent="0.3">
      <c r="A110" s="13"/>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1"/>
    </row>
    <row r="111" spans="1:52" x14ac:dyDescent="0.3">
      <c r="A111" s="13"/>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1"/>
    </row>
    <row r="112" spans="1:52" x14ac:dyDescent="0.3">
      <c r="A112" s="13"/>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1"/>
    </row>
    <row r="113" spans="1:52" x14ac:dyDescent="0.3">
      <c r="A113" s="13"/>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1"/>
    </row>
    <row r="114" spans="1:52" x14ac:dyDescent="0.3">
      <c r="A114" s="13"/>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c r="AY114" s="12"/>
      <c r="AZ114" s="11"/>
    </row>
    <row r="115" spans="1:52" x14ac:dyDescent="0.3">
      <c r="A115" s="13"/>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c r="AY115" s="12"/>
      <c r="AZ115" s="11"/>
    </row>
    <row r="116" spans="1:52" x14ac:dyDescent="0.3">
      <c r="A116" s="13"/>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1"/>
    </row>
    <row r="117" spans="1:52" x14ac:dyDescent="0.3">
      <c r="A117" s="13"/>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1"/>
    </row>
    <row r="118" spans="1:52" x14ac:dyDescent="0.3">
      <c r="A118" s="13"/>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c r="AY118" s="12"/>
      <c r="AZ118" s="11"/>
    </row>
    <row r="119" spans="1:52" x14ac:dyDescent="0.3">
      <c r="A119" s="13"/>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c r="AY119" s="12"/>
      <c r="AZ119" s="11"/>
    </row>
    <row r="120" spans="1:52" x14ac:dyDescent="0.3">
      <c r="A120" s="13"/>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1"/>
    </row>
    <row r="121" spans="1:52" x14ac:dyDescent="0.3">
      <c r="A121" s="13"/>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c r="AY121" s="12"/>
      <c r="AZ121" s="11"/>
    </row>
    <row r="122" spans="1:52" x14ac:dyDescent="0.3">
      <c r="A122" s="13"/>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c r="AY122" s="12"/>
      <c r="AZ122" s="11"/>
    </row>
    <row r="123" spans="1:52" x14ac:dyDescent="0.3">
      <c r="A123" s="13"/>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1"/>
    </row>
    <row r="124" spans="1:52" x14ac:dyDescent="0.3">
      <c r="A124" s="13"/>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1"/>
    </row>
    <row r="125" spans="1:52" x14ac:dyDescent="0.3">
      <c r="A125" s="13"/>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c r="AY125" s="12"/>
      <c r="AZ125" s="11"/>
    </row>
    <row r="126" spans="1:52" x14ac:dyDescent="0.3">
      <c r="A126" s="13"/>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c r="AY126" s="12"/>
      <c r="AZ126" s="11"/>
    </row>
    <row r="127" spans="1:52" x14ac:dyDescent="0.3">
      <c r="A127" s="13"/>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c r="AY127" s="12"/>
      <c r="AZ127" s="11"/>
    </row>
    <row r="128" spans="1:52" x14ac:dyDescent="0.3">
      <c r="A128" s="13"/>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c r="AY128" s="12"/>
      <c r="AZ128" s="11"/>
    </row>
    <row r="129" spans="1:52" x14ac:dyDescent="0.3">
      <c r="A129" s="13"/>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c r="AX129" s="12"/>
      <c r="AY129" s="12"/>
      <c r="AZ129" s="11"/>
    </row>
    <row r="130" spans="1:52" x14ac:dyDescent="0.3">
      <c r="A130" s="13"/>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c r="AY130" s="12"/>
      <c r="AZ130" s="11"/>
    </row>
    <row r="131" spans="1:52" x14ac:dyDescent="0.3">
      <c r="A131" s="13"/>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c r="AY131" s="12"/>
      <c r="AZ131" s="11"/>
    </row>
    <row r="132" spans="1:52" x14ac:dyDescent="0.3">
      <c r="A132" s="13"/>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c r="AY132" s="12"/>
      <c r="AZ132" s="11"/>
    </row>
    <row r="133" spans="1:52" x14ac:dyDescent="0.3">
      <c r="A133" s="13"/>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c r="AX133" s="12"/>
      <c r="AY133" s="12"/>
      <c r="AZ133" s="11"/>
    </row>
    <row r="134" spans="1:52" x14ac:dyDescent="0.3">
      <c r="A134" s="13"/>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c r="AY134" s="12"/>
      <c r="AZ134" s="11"/>
    </row>
    <row r="135" spans="1:52" x14ac:dyDescent="0.3">
      <c r="A135" s="13"/>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1"/>
    </row>
    <row r="136" spans="1:52" x14ac:dyDescent="0.3">
      <c r="A136" s="13"/>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1"/>
    </row>
    <row r="137" spans="1:52" x14ac:dyDescent="0.3">
      <c r="A137" s="13"/>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1"/>
    </row>
    <row r="138" spans="1:52" x14ac:dyDescent="0.3">
      <c r="A138" s="13"/>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1"/>
    </row>
    <row r="139" spans="1:52" x14ac:dyDescent="0.3">
      <c r="A139" s="13"/>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1"/>
    </row>
    <row r="140" spans="1:52" x14ac:dyDescent="0.3">
      <c r="A140" s="13"/>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1"/>
    </row>
    <row r="141" spans="1:52" x14ac:dyDescent="0.3">
      <c r="A141" s="13"/>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1"/>
    </row>
    <row r="142" spans="1:52" x14ac:dyDescent="0.3">
      <c r="A142" s="13"/>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1"/>
    </row>
    <row r="143" spans="1:52" x14ac:dyDescent="0.3">
      <c r="A143" s="13"/>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1"/>
    </row>
    <row r="144" spans="1:52" x14ac:dyDescent="0.3">
      <c r="A144" s="13"/>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1"/>
    </row>
    <row r="145" spans="1:52" x14ac:dyDescent="0.3">
      <c r="A145" s="13"/>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1"/>
    </row>
    <row r="146" spans="1:52" x14ac:dyDescent="0.3">
      <c r="A146" s="13"/>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1"/>
    </row>
    <row r="147" spans="1:52" x14ac:dyDescent="0.3">
      <c r="A147" s="13"/>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1"/>
    </row>
    <row r="148" spans="1:52" x14ac:dyDescent="0.3">
      <c r="A148" s="13"/>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1"/>
    </row>
    <row r="149" spans="1:52" x14ac:dyDescent="0.3">
      <c r="A149" s="13"/>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1"/>
    </row>
    <row r="150" spans="1:52" x14ac:dyDescent="0.3">
      <c r="A150" s="13"/>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1"/>
    </row>
    <row r="151" spans="1:52" x14ac:dyDescent="0.3">
      <c r="A151" s="13"/>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1"/>
    </row>
    <row r="152" spans="1:52" x14ac:dyDescent="0.3">
      <c r="A152" s="13"/>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1"/>
    </row>
    <row r="153" spans="1:52" x14ac:dyDescent="0.3">
      <c r="A153" s="13"/>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1"/>
    </row>
    <row r="154" spans="1:52" x14ac:dyDescent="0.3">
      <c r="A154" s="13"/>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1"/>
    </row>
    <row r="155" spans="1:52" x14ac:dyDescent="0.3">
      <c r="A155" s="13"/>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1"/>
    </row>
    <row r="156" spans="1:52" x14ac:dyDescent="0.3">
      <c r="A156" s="13"/>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1"/>
    </row>
    <row r="157" spans="1:52" x14ac:dyDescent="0.3">
      <c r="A157" s="13"/>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1"/>
    </row>
    <row r="158" spans="1:52" x14ac:dyDescent="0.3">
      <c r="A158" s="13"/>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1"/>
    </row>
    <row r="159" spans="1:52" x14ac:dyDescent="0.3">
      <c r="A159" s="13"/>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1"/>
    </row>
    <row r="160" spans="1:52" x14ac:dyDescent="0.3">
      <c r="A160" s="13"/>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1"/>
    </row>
    <row r="161" spans="1:52" x14ac:dyDescent="0.3">
      <c r="A161" s="13"/>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1"/>
    </row>
    <row r="162" spans="1:52" x14ac:dyDescent="0.3">
      <c r="A162" s="13"/>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1"/>
    </row>
    <row r="163" spans="1:52" x14ac:dyDescent="0.3">
      <c r="A163" s="13"/>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1"/>
    </row>
    <row r="164" spans="1:52" x14ac:dyDescent="0.3">
      <c r="A164" s="13"/>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1"/>
    </row>
    <row r="165" spans="1:52" x14ac:dyDescent="0.3">
      <c r="A165" s="13"/>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1"/>
    </row>
    <row r="166" spans="1:52" x14ac:dyDescent="0.3">
      <c r="A166" s="13"/>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1"/>
    </row>
    <row r="167" spans="1:52" x14ac:dyDescent="0.3">
      <c r="A167" s="13"/>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1"/>
    </row>
    <row r="168" spans="1:52" x14ac:dyDescent="0.3">
      <c r="A168" s="13"/>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1"/>
    </row>
    <row r="169" spans="1:52" x14ac:dyDescent="0.3">
      <c r="A169" s="13"/>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1"/>
    </row>
    <row r="170" spans="1:52" x14ac:dyDescent="0.3">
      <c r="A170" s="13"/>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1"/>
    </row>
    <row r="171" spans="1:52" x14ac:dyDescent="0.3">
      <c r="A171" s="13"/>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1"/>
    </row>
    <row r="172" spans="1:52" x14ac:dyDescent="0.3">
      <c r="A172" s="13"/>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1"/>
    </row>
    <row r="173" spans="1:52" x14ac:dyDescent="0.3">
      <c r="A173" s="13"/>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1"/>
    </row>
    <row r="174" spans="1:52" x14ac:dyDescent="0.3">
      <c r="A174" s="13"/>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1"/>
    </row>
    <row r="175" spans="1:52" x14ac:dyDescent="0.3">
      <c r="A175" s="13"/>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1"/>
    </row>
    <row r="176" spans="1:52" x14ac:dyDescent="0.3">
      <c r="A176" s="13"/>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1"/>
    </row>
    <row r="177" spans="1:52" x14ac:dyDescent="0.3">
      <c r="A177" s="13"/>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1"/>
    </row>
    <row r="178" spans="1:52" x14ac:dyDescent="0.3">
      <c r="A178" s="13"/>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1"/>
    </row>
    <row r="179" spans="1:52" x14ac:dyDescent="0.3">
      <c r="A179" s="13"/>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1"/>
    </row>
    <row r="180" spans="1:52" x14ac:dyDescent="0.3">
      <c r="A180" s="13"/>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1"/>
    </row>
    <row r="181" spans="1:52" x14ac:dyDescent="0.3">
      <c r="A181" s="13"/>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1"/>
    </row>
    <row r="182" spans="1:52" x14ac:dyDescent="0.3">
      <c r="A182" s="13"/>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1"/>
    </row>
    <row r="183" spans="1:52" x14ac:dyDescent="0.3">
      <c r="A183" s="13"/>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1"/>
    </row>
    <row r="184" spans="1:52" x14ac:dyDescent="0.3">
      <c r="A184" s="13"/>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1"/>
    </row>
    <row r="185" spans="1:52" x14ac:dyDescent="0.3">
      <c r="A185" s="13"/>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1"/>
    </row>
    <row r="186" spans="1:52" x14ac:dyDescent="0.3">
      <c r="A186" s="13"/>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1"/>
    </row>
    <row r="187" spans="1:52" x14ac:dyDescent="0.3">
      <c r="A187" s="13"/>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1"/>
    </row>
    <row r="188" spans="1:52" x14ac:dyDescent="0.3">
      <c r="A188" s="13"/>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1"/>
    </row>
    <row r="189" spans="1:52" x14ac:dyDescent="0.3">
      <c r="A189" s="13"/>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1"/>
    </row>
    <row r="190" spans="1:52" x14ac:dyDescent="0.3">
      <c r="A190" s="13"/>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1"/>
    </row>
    <row r="191" spans="1:52" x14ac:dyDescent="0.3">
      <c r="A191" s="13"/>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1"/>
    </row>
    <row r="192" spans="1:52" x14ac:dyDescent="0.3">
      <c r="A192" s="13"/>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1"/>
    </row>
    <row r="193" spans="1:52" x14ac:dyDescent="0.3">
      <c r="A193" s="13"/>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1"/>
    </row>
    <row r="194" spans="1:52" x14ac:dyDescent="0.3">
      <c r="A194" s="13"/>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1"/>
    </row>
    <row r="195" spans="1:52" x14ac:dyDescent="0.3">
      <c r="A195" s="13"/>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1"/>
    </row>
    <row r="196" spans="1:52" x14ac:dyDescent="0.3">
      <c r="A196" s="13"/>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1"/>
    </row>
    <row r="197" spans="1:52" x14ac:dyDescent="0.3">
      <c r="A197" s="13"/>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1"/>
    </row>
    <row r="198" spans="1:52" x14ac:dyDescent="0.3">
      <c r="A198" s="13"/>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1"/>
    </row>
    <row r="199" spans="1:52" x14ac:dyDescent="0.3">
      <c r="A199" s="13"/>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1"/>
    </row>
    <row r="200" spans="1:52" x14ac:dyDescent="0.3">
      <c r="A200" s="13"/>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1"/>
    </row>
    <row r="201" spans="1:52" x14ac:dyDescent="0.3">
      <c r="A201" s="13"/>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1"/>
    </row>
    <row r="202" spans="1:52" x14ac:dyDescent="0.3">
      <c r="A202" s="13"/>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1"/>
    </row>
    <row r="203" spans="1:52" x14ac:dyDescent="0.3">
      <c r="A203" s="13"/>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1"/>
    </row>
    <row r="204" spans="1:52" x14ac:dyDescent="0.3">
      <c r="A204" s="13"/>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1"/>
    </row>
    <row r="205" spans="1:52" x14ac:dyDescent="0.3">
      <c r="A205" s="13"/>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1"/>
    </row>
    <row r="206" spans="1:52" x14ac:dyDescent="0.3">
      <c r="A206" s="13"/>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1"/>
    </row>
    <row r="207" spans="1:52" x14ac:dyDescent="0.3">
      <c r="A207" s="13"/>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1"/>
    </row>
    <row r="208" spans="1:52" x14ac:dyDescent="0.3">
      <c r="A208" s="13"/>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1"/>
    </row>
    <row r="209" spans="1:52" x14ac:dyDescent="0.3">
      <c r="A209" s="13"/>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1"/>
    </row>
    <row r="210" spans="1:52" x14ac:dyDescent="0.3">
      <c r="A210" s="13"/>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1"/>
    </row>
    <row r="211" spans="1:52" x14ac:dyDescent="0.3">
      <c r="A211" s="13"/>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1"/>
    </row>
    <row r="212" spans="1:52" x14ac:dyDescent="0.3">
      <c r="A212" s="13"/>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1"/>
    </row>
    <row r="213" spans="1:52" x14ac:dyDescent="0.3">
      <c r="A213" s="13"/>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1"/>
    </row>
    <row r="214" spans="1:52" x14ac:dyDescent="0.3">
      <c r="A214" s="13"/>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1"/>
    </row>
    <row r="215" spans="1:52" x14ac:dyDescent="0.3">
      <c r="A215" s="13"/>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1"/>
    </row>
    <row r="216" spans="1:52" x14ac:dyDescent="0.3">
      <c r="A216" s="13"/>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1"/>
    </row>
    <row r="217" spans="1:52" x14ac:dyDescent="0.3">
      <c r="A217" s="13"/>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1"/>
    </row>
    <row r="218" spans="1:52" x14ac:dyDescent="0.3">
      <c r="A218" s="13"/>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1"/>
    </row>
    <row r="219" spans="1:52" x14ac:dyDescent="0.3">
      <c r="A219" s="13"/>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1"/>
    </row>
    <row r="220" spans="1:52" x14ac:dyDescent="0.3">
      <c r="A220" s="13"/>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1"/>
    </row>
    <row r="221" spans="1:52" x14ac:dyDescent="0.3">
      <c r="A221" s="13"/>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1"/>
    </row>
    <row r="222" spans="1:52" x14ac:dyDescent="0.3">
      <c r="A222" s="13"/>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1"/>
    </row>
    <row r="223" spans="1:52" x14ac:dyDescent="0.3">
      <c r="A223" s="13"/>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1"/>
    </row>
    <row r="224" spans="1:52" x14ac:dyDescent="0.3">
      <c r="A224" s="13"/>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1"/>
    </row>
    <row r="225" spans="1:52" x14ac:dyDescent="0.3">
      <c r="A225" s="13"/>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1"/>
    </row>
    <row r="226" spans="1:52" x14ac:dyDescent="0.3">
      <c r="A226" s="13"/>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1"/>
    </row>
    <row r="227" spans="1:52" x14ac:dyDescent="0.3">
      <c r="A227" s="13"/>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1"/>
    </row>
    <row r="228" spans="1:52" x14ac:dyDescent="0.3">
      <c r="A228" s="13"/>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1"/>
    </row>
    <row r="229" spans="1:52" x14ac:dyDescent="0.3">
      <c r="A229" s="13"/>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1"/>
    </row>
    <row r="230" spans="1:52" x14ac:dyDescent="0.3">
      <c r="A230" s="13"/>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1"/>
    </row>
    <row r="231" spans="1:52" x14ac:dyDescent="0.3">
      <c r="A231" s="13"/>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1"/>
    </row>
    <row r="232" spans="1:52" x14ac:dyDescent="0.3">
      <c r="A232" s="13"/>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1"/>
    </row>
    <row r="233" spans="1:52" x14ac:dyDescent="0.3">
      <c r="A233" s="13"/>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1"/>
    </row>
    <row r="234" spans="1:52" x14ac:dyDescent="0.3">
      <c r="A234" s="13"/>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1"/>
    </row>
    <row r="235" spans="1:52" x14ac:dyDescent="0.3">
      <c r="A235" s="13"/>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1"/>
    </row>
    <row r="236" spans="1:52" x14ac:dyDescent="0.3">
      <c r="A236" s="13"/>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1"/>
    </row>
    <row r="237" spans="1:52" x14ac:dyDescent="0.3">
      <c r="A237" s="13"/>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1"/>
    </row>
    <row r="238" spans="1:52" x14ac:dyDescent="0.3">
      <c r="A238" s="13"/>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1"/>
    </row>
    <row r="239" spans="1:52" x14ac:dyDescent="0.3">
      <c r="A239" s="13"/>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1"/>
    </row>
    <row r="240" spans="1:52" x14ac:dyDescent="0.3">
      <c r="A240" s="13"/>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1"/>
    </row>
    <row r="241" spans="1:52" x14ac:dyDescent="0.3">
      <c r="A241" s="13"/>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1"/>
    </row>
    <row r="242" spans="1:52" x14ac:dyDescent="0.3">
      <c r="A242" s="13"/>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1"/>
    </row>
    <row r="243" spans="1:52" x14ac:dyDescent="0.3">
      <c r="A243" s="13"/>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1"/>
    </row>
    <row r="244" spans="1:52" x14ac:dyDescent="0.3">
      <c r="A244" s="13"/>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1"/>
    </row>
    <row r="245" spans="1:52" x14ac:dyDescent="0.3">
      <c r="A245" s="13"/>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1"/>
    </row>
    <row r="246" spans="1:52" x14ac:dyDescent="0.3">
      <c r="A246" s="13"/>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1"/>
    </row>
    <row r="247" spans="1:52" x14ac:dyDescent="0.3">
      <c r="A247" s="13"/>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1"/>
    </row>
    <row r="248" spans="1:52" x14ac:dyDescent="0.3">
      <c r="A248" s="13"/>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1"/>
    </row>
    <row r="249" spans="1:52" x14ac:dyDescent="0.3">
      <c r="A249" s="13"/>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1"/>
    </row>
    <row r="250" spans="1:52" x14ac:dyDescent="0.3">
      <c r="A250" s="13"/>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1"/>
    </row>
    <row r="251" spans="1:52" x14ac:dyDescent="0.3">
      <c r="A251" s="13"/>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1"/>
    </row>
    <row r="252" spans="1:52" x14ac:dyDescent="0.3">
      <c r="A252" s="13"/>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1"/>
    </row>
    <row r="253" spans="1:52" x14ac:dyDescent="0.3">
      <c r="A253" s="13"/>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1"/>
    </row>
    <row r="254" spans="1:52" x14ac:dyDescent="0.3">
      <c r="A254" s="13"/>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1"/>
    </row>
    <row r="255" spans="1:52" x14ac:dyDescent="0.3">
      <c r="A255" s="13"/>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1"/>
    </row>
    <row r="256" spans="1:52" x14ac:dyDescent="0.3">
      <c r="A256" s="13"/>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1"/>
    </row>
    <row r="257" spans="1:52" x14ac:dyDescent="0.3">
      <c r="A257" s="13"/>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1"/>
    </row>
    <row r="258" spans="1:52" x14ac:dyDescent="0.3">
      <c r="A258" s="13"/>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1"/>
    </row>
    <row r="259" spans="1:52" x14ac:dyDescent="0.3">
      <c r="A259" s="13"/>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1"/>
    </row>
    <row r="260" spans="1:52" x14ac:dyDescent="0.3">
      <c r="A260" s="13"/>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1"/>
    </row>
    <row r="261" spans="1:52" x14ac:dyDescent="0.3">
      <c r="A261" s="13"/>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1"/>
    </row>
    <row r="262" spans="1:52" x14ac:dyDescent="0.3">
      <c r="A262" s="13"/>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1"/>
    </row>
    <row r="263" spans="1:52" x14ac:dyDescent="0.3">
      <c r="A263" s="13"/>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1"/>
    </row>
    <row r="264" spans="1:52" x14ac:dyDescent="0.3">
      <c r="A264" s="13"/>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1"/>
    </row>
    <row r="265" spans="1:52" x14ac:dyDescent="0.3">
      <c r="A265" s="13"/>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1"/>
    </row>
    <row r="266" spans="1:52" x14ac:dyDescent="0.3">
      <c r="A266" s="13"/>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1"/>
    </row>
    <row r="267" spans="1:52" x14ac:dyDescent="0.3">
      <c r="A267" s="13"/>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1"/>
    </row>
    <row r="268" spans="1:52" x14ac:dyDescent="0.3">
      <c r="A268" s="13"/>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1"/>
    </row>
    <row r="269" spans="1:52" x14ac:dyDescent="0.3">
      <c r="A269" s="13"/>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1"/>
    </row>
    <row r="270" spans="1:52" x14ac:dyDescent="0.3">
      <c r="A270" s="13"/>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1"/>
    </row>
    <row r="271" spans="1:52" x14ac:dyDescent="0.3">
      <c r="A271" s="13"/>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1"/>
    </row>
    <row r="272" spans="1:52" x14ac:dyDescent="0.3">
      <c r="A272" s="13"/>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1"/>
    </row>
    <row r="273" spans="1:52" x14ac:dyDescent="0.3">
      <c r="A273" s="13"/>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1"/>
    </row>
    <row r="274" spans="1:52" x14ac:dyDescent="0.3">
      <c r="A274" s="13"/>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1"/>
    </row>
    <row r="275" spans="1:52" x14ac:dyDescent="0.3">
      <c r="A275" s="13"/>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1"/>
    </row>
    <row r="276" spans="1:52" x14ac:dyDescent="0.3">
      <c r="A276" s="13"/>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1"/>
    </row>
    <row r="277" spans="1:52" x14ac:dyDescent="0.3">
      <c r="A277" s="13"/>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1"/>
    </row>
    <row r="278" spans="1:52" x14ac:dyDescent="0.3">
      <c r="A278" s="13"/>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1"/>
    </row>
    <row r="279" spans="1:52" x14ac:dyDescent="0.3">
      <c r="A279" s="13"/>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1"/>
    </row>
    <row r="280" spans="1:52" x14ac:dyDescent="0.3">
      <c r="A280" s="13"/>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1"/>
    </row>
    <row r="281" spans="1:52" x14ac:dyDescent="0.3">
      <c r="A281" s="13"/>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1"/>
    </row>
    <row r="282" spans="1:52" x14ac:dyDescent="0.3">
      <c r="A282" s="13"/>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1"/>
    </row>
    <row r="283" spans="1:52" x14ac:dyDescent="0.3">
      <c r="A283" s="13"/>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1"/>
    </row>
    <row r="284" spans="1:52" x14ac:dyDescent="0.3">
      <c r="A284" s="13"/>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1"/>
    </row>
    <row r="285" spans="1:52" x14ac:dyDescent="0.3">
      <c r="A285" s="13"/>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1"/>
    </row>
    <row r="286" spans="1:52" x14ac:dyDescent="0.3">
      <c r="A286" s="13"/>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1"/>
    </row>
    <row r="287" spans="1:52" x14ac:dyDescent="0.3">
      <c r="A287" s="13"/>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1"/>
    </row>
    <row r="288" spans="1:52" x14ac:dyDescent="0.3">
      <c r="A288" s="13"/>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1"/>
    </row>
    <row r="289" spans="1:52" x14ac:dyDescent="0.3">
      <c r="A289" s="13"/>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1"/>
    </row>
    <row r="290" spans="1:52" x14ac:dyDescent="0.3">
      <c r="A290" s="13"/>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1"/>
    </row>
    <row r="291" spans="1:52" x14ac:dyDescent="0.3">
      <c r="A291" s="13"/>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1"/>
    </row>
    <row r="292" spans="1:52" x14ac:dyDescent="0.3">
      <c r="A292" s="13"/>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1"/>
    </row>
    <row r="293" spans="1:52" x14ac:dyDescent="0.3">
      <c r="A293" s="13"/>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1"/>
    </row>
    <row r="294" spans="1:52" x14ac:dyDescent="0.3">
      <c r="A294" s="13"/>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1"/>
    </row>
    <row r="295" spans="1:52" x14ac:dyDescent="0.3">
      <c r="A295" s="13"/>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1"/>
    </row>
    <row r="296" spans="1:52" x14ac:dyDescent="0.3">
      <c r="A296" s="13"/>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1"/>
    </row>
    <row r="297" spans="1:52" x14ac:dyDescent="0.3">
      <c r="A297" s="13"/>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1"/>
    </row>
    <row r="298" spans="1:52" x14ac:dyDescent="0.3">
      <c r="A298" s="13"/>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1"/>
    </row>
    <row r="299" spans="1:52" x14ac:dyDescent="0.3">
      <c r="A299" s="13"/>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1"/>
    </row>
    <row r="300" spans="1:52" x14ac:dyDescent="0.3">
      <c r="A300" s="13"/>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1"/>
    </row>
    <row r="301" spans="1:52" x14ac:dyDescent="0.3">
      <c r="A301" s="13"/>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1"/>
    </row>
    <row r="302" spans="1:52" x14ac:dyDescent="0.3">
      <c r="A302" s="13"/>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1"/>
    </row>
    <row r="303" spans="1:52" x14ac:dyDescent="0.3">
      <c r="A303" s="13"/>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1"/>
    </row>
    <row r="304" spans="1:52" x14ac:dyDescent="0.3">
      <c r="A304" s="13"/>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1"/>
    </row>
    <row r="305" spans="1:52" x14ac:dyDescent="0.3">
      <c r="A305" s="13"/>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1"/>
    </row>
    <row r="306" spans="1:52" x14ac:dyDescent="0.3">
      <c r="A306" s="13"/>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1"/>
    </row>
    <row r="307" spans="1:52" x14ac:dyDescent="0.3">
      <c r="A307" s="13"/>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1"/>
    </row>
    <row r="308" spans="1:52" x14ac:dyDescent="0.3">
      <c r="A308" s="13"/>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1"/>
    </row>
    <row r="309" spans="1:52" x14ac:dyDescent="0.3">
      <c r="A309" s="13"/>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1"/>
    </row>
    <row r="310" spans="1:52" x14ac:dyDescent="0.3">
      <c r="A310" s="13"/>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1"/>
    </row>
    <row r="311" spans="1:52" x14ac:dyDescent="0.3">
      <c r="A311" s="13"/>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1"/>
    </row>
    <row r="312" spans="1:52" x14ac:dyDescent="0.3">
      <c r="A312" s="13"/>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1"/>
    </row>
    <row r="313" spans="1:52" x14ac:dyDescent="0.3">
      <c r="A313" s="13"/>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1"/>
    </row>
    <row r="314" spans="1:52" x14ac:dyDescent="0.3">
      <c r="A314" s="13"/>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1"/>
    </row>
    <row r="315" spans="1:52" x14ac:dyDescent="0.3">
      <c r="A315" s="13"/>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1"/>
    </row>
    <row r="316" spans="1:52" x14ac:dyDescent="0.3">
      <c r="A316" s="13"/>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1"/>
    </row>
    <row r="317" spans="1:52" x14ac:dyDescent="0.3">
      <c r="A317" s="13"/>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1"/>
    </row>
    <row r="318" spans="1:52" x14ac:dyDescent="0.3">
      <c r="A318" s="13"/>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1"/>
    </row>
    <row r="319" spans="1:52" x14ac:dyDescent="0.3">
      <c r="A319" s="13"/>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1"/>
    </row>
    <row r="320" spans="1:52" x14ac:dyDescent="0.3">
      <c r="A320" s="13"/>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1"/>
    </row>
    <row r="321" spans="1:52" x14ac:dyDescent="0.3">
      <c r="A321" s="13"/>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1"/>
    </row>
    <row r="322" spans="1:52" x14ac:dyDescent="0.3">
      <c r="A322" s="13"/>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1"/>
    </row>
    <row r="323" spans="1:52" x14ac:dyDescent="0.3">
      <c r="A323" s="13"/>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1"/>
    </row>
    <row r="324" spans="1:52" x14ac:dyDescent="0.3">
      <c r="A324" s="13"/>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1"/>
    </row>
    <row r="325" spans="1:52" x14ac:dyDescent="0.3">
      <c r="A325" s="13"/>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1"/>
    </row>
    <row r="326" spans="1:52" x14ac:dyDescent="0.3">
      <c r="A326" s="13"/>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1"/>
    </row>
    <row r="327" spans="1:52" x14ac:dyDescent="0.3">
      <c r="A327" s="13"/>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1"/>
    </row>
    <row r="328" spans="1:52" x14ac:dyDescent="0.3">
      <c r="A328" s="13"/>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1"/>
    </row>
    <row r="329" spans="1:52" x14ac:dyDescent="0.3">
      <c r="A329" s="13"/>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1"/>
    </row>
    <row r="330" spans="1:52" x14ac:dyDescent="0.3">
      <c r="A330" s="13"/>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1"/>
    </row>
    <row r="331" spans="1:52" x14ac:dyDescent="0.3">
      <c r="A331" s="13"/>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1"/>
    </row>
    <row r="332" spans="1:52" x14ac:dyDescent="0.3">
      <c r="A332" s="13"/>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1"/>
    </row>
    <row r="333" spans="1:52" x14ac:dyDescent="0.3">
      <c r="A333" s="13"/>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1"/>
    </row>
    <row r="334" spans="1:52" x14ac:dyDescent="0.3">
      <c r="A334" s="13"/>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1"/>
    </row>
    <row r="335" spans="1:52" x14ac:dyDescent="0.3">
      <c r="A335" s="13"/>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1"/>
    </row>
    <row r="336" spans="1:52" x14ac:dyDescent="0.3">
      <c r="A336" s="13"/>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1"/>
    </row>
    <row r="337" spans="1:52" x14ac:dyDescent="0.3">
      <c r="A337" s="13"/>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1"/>
    </row>
    <row r="338" spans="1:52" x14ac:dyDescent="0.3">
      <c r="A338" s="13"/>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1"/>
    </row>
    <row r="339" spans="1:52" x14ac:dyDescent="0.3">
      <c r="A339" s="13"/>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1"/>
    </row>
    <row r="340" spans="1:52" x14ac:dyDescent="0.3">
      <c r="A340" s="13"/>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1"/>
    </row>
    <row r="341" spans="1:52" x14ac:dyDescent="0.3">
      <c r="A341" s="13"/>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1"/>
    </row>
    <row r="342" spans="1:52" x14ac:dyDescent="0.3">
      <c r="A342" s="13"/>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1"/>
    </row>
    <row r="343" spans="1:52" x14ac:dyDescent="0.3">
      <c r="A343" s="13"/>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1"/>
    </row>
    <row r="344" spans="1:52" x14ac:dyDescent="0.3">
      <c r="A344" s="13"/>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1"/>
    </row>
    <row r="345" spans="1:52" x14ac:dyDescent="0.3">
      <c r="A345" s="13"/>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1"/>
    </row>
    <row r="346" spans="1:52" x14ac:dyDescent="0.3">
      <c r="A346" s="13"/>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1"/>
    </row>
    <row r="347" spans="1:52" x14ac:dyDescent="0.3">
      <c r="A347" s="13"/>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1"/>
    </row>
    <row r="348" spans="1:52" x14ac:dyDescent="0.3">
      <c r="A348" s="13"/>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1"/>
    </row>
    <row r="349" spans="1:52" x14ac:dyDescent="0.3">
      <c r="A349" s="13"/>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1"/>
    </row>
    <row r="350" spans="1:52" x14ac:dyDescent="0.3">
      <c r="A350" s="13"/>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1"/>
    </row>
    <row r="351" spans="1:52" x14ac:dyDescent="0.3">
      <c r="A351" s="13"/>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1"/>
    </row>
    <row r="352" spans="1:52" x14ac:dyDescent="0.3">
      <c r="A352" s="13"/>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1"/>
    </row>
    <row r="353" spans="1:52" x14ac:dyDescent="0.3">
      <c r="A353" s="13"/>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1"/>
    </row>
    <row r="354" spans="1:52" x14ac:dyDescent="0.3">
      <c r="A354" s="13"/>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1"/>
    </row>
    <row r="355" spans="1:52" x14ac:dyDescent="0.3">
      <c r="A355" s="13"/>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1"/>
    </row>
    <row r="356" spans="1:52" x14ac:dyDescent="0.3">
      <c r="A356" s="13"/>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1"/>
    </row>
    <row r="357" spans="1:52" x14ac:dyDescent="0.3">
      <c r="A357" s="13"/>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1"/>
    </row>
    <row r="358" spans="1:52" x14ac:dyDescent="0.3">
      <c r="A358" s="13"/>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1"/>
    </row>
    <row r="359" spans="1:52" x14ac:dyDescent="0.3">
      <c r="A359" s="13"/>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1"/>
    </row>
    <row r="360" spans="1:52" x14ac:dyDescent="0.3">
      <c r="A360" s="13"/>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1"/>
    </row>
    <row r="361" spans="1:52" x14ac:dyDescent="0.3">
      <c r="A361" s="13"/>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1"/>
    </row>
    <row r="362" spans="1:52" x14ac:dyDescent="0.3">
      <c r="A362" s="13"/>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1"/>
    </row>
    <row r="363" spans="1:52" x14ac:dyDescent="0.3">
      <c r="A363" s="13"/>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1"/>
    </row>
    <row r="364" spans="1:52" x14ac:dyDescent="0.3">
      <c r="A364" s="13"/>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1"/>
    </row>
    <row r="365" spans="1:52" x14ac:dyDescent="0.3">
      <c r="A365" s="13"/>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1"/>
    </row>
    <row r="366" spans="1:52" x14ac:dyDescent="0.3">
      <c r="A366" s="13"/>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1"/>
    </row>
    <row r="367" spans="1:52" x14ac:dyDescent="0.3">
      <c r="A367" s="13"/>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1"/>
    </row>
    <row r="368" spans="1:52" x14ac:dyDescent="0.3">
      <c r="A368" s="13"/>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1"/>
    </row>
    <row r="369" spans="1:52" x14ac:dyDescent="0.3">
      <c r="A369" s="13"/>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1"/>
    </row>
    <row r="370" spans="1:52" x14ac:dyDescent="0.3">
      <c r="A370" s="13"/>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1"/>
    </row>
    <row r="371" spans="1:52" x14ac:dyDescent="0.3">
      <c r="A371" s="13"/>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1"/>
    </row>
    <row r="372" spans="1:52" x14ac:dyDescent="0.3">
      <c r="A372" s="13"/>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1"/>
    </row>
    <row r="373" spans="1:52" x14ac:dyDescent="0.3">
      <c r="A373" s="13"/>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1"/>
    </row>
    <row r="374" spans="1:52" x14ac:dyDescent="0.3">
      <c r="A374" s="13"/>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1"/>
    </row>
    <row r="375" spans="1:52" x14ac:dyDescent="0.3">
      <c r="A375" s="13"/>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1"/>
    </row>
    <row r="376" spans="1:52" x14ac:dyDescent="0.3">
      <c r="A376" s="13"/>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1"/>
    </row>
    <row r="377" spans="1:52" x14ac:dyDescent="0.3">
      <c r="A377" s="13"/>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1"/>
    </row>
    <row r="378" spans="1:52" x14ac:dyDescent="0.3">
      <c r="A378" s="13"/>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1"/>
    </row>
    <row r="379" spans="1:52" x14ac:dyDescent="0.3">
      <c r="A379" s="13"/>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1"/>
    </row>
    <row r="380" spans="1:52" x14ac:dyDescent="0.3">
      <c r="A380" s="13"/>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1"/>
    </row>
    <row r="381" spans="1:52" x14ac:dyDescent="0.3">
      <c r="A381" s="13"/>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1"/>
    </row>
    <row r="382" spans="1:52" x14ac:dyDescent="0.3">
      <c r="A382" s="13"/>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1"/>
    </row>
    <row r="383" spans="1:52" x14ac:dyDescent="0.3">
      <c r="A383" s="13"/>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1"/>
    </row>
    <row r="384" spans="1:52" x14ac:dyDescent="0.3">
      <c r="A384" s="13"/>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1"/>
    </row>
    <row r="385" spans="1:52" x14ac:dyDescent="0.3">
      <c r="A385" s="13"/>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1"/>
    </row>
    <row r="386" spans="1:52" x14ac:dyDescent="0.3">
      <c r="A386" s="13"/>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1"/>
    </row>
    <row r="387" spans="1:52" x14ac:dyDescent="0.3">
      <c r="A387" s="13"/>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1"/>
    </row>
    <row r="388" spans="1:52" x14ac:dyDescent="0.3">
      <c r="A388" s="13"/>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1"/>
    </row>
    <row r="389" spans="1:52" x14ac:dyDescent="0.3">
      <c r="A389" s="13"/>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1"/>
    </row>
    <row r="390" spans="1:52" x14ac:dyDescent="0.3">
      <c r="A390" s="13"/>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1"/>
    </row>
    <row r="391" spans="1:52" x14ac:dyDescent="0.3">
      <c r="A391" s="13"/>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1"/>
    </row>
    <row r="392" spans="1:52" x14ac:dyDescent="0.3">
      <c r="A392" s="13"/>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1"/>
    </row>
    <row r="393" spans="1:52" x14ac:dyDescent="0.3">
      <c r="A393" s="13"/>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1"/>
    </row>
    <row r="394" spans="1:52" x14ac:dyDescent="0.3">
      <c r="A394" s="13"/>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1"/>
    </row>
    <row r="395" spans="1:52" x14ac:dyDescent="0.3">
      <c r="A395" s="13"/>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1"/>
    </row>
    <row r="396" spans="1:52" x14ac:dyDescent="0.3">
      <c r="A396" s="13"/>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1"/>
    </row>
    <row r="397" spans="1:52" x14ac:dyDescent="0.3">
      <c r="A397" s="13"/>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1"/>
    </row>
    <row r="398" spans="1:52" x14ac:dyDescent="0.3">
      <c r="A398" s="13"/>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1"/>
    </row>
    <row r="399" spans="1:52" x14ac:dyDescent="0.3">
      <c r="A399" s="13"/>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1"/>
    </row>
    <row r="400" spans="1:52" x14ac:dyDescent="0.3">
      <c r="A400" s="13"/>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1"/>
    </row>
    <row r="401" spans="1:52" x14ac:dyDescent="0.3">
      <c r="A401" s="13"/>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1"/>
    </row>
    <row r="402" spans="1:52" x14ac:dyDescent="0.3">
      <c r="A402" s="13"/>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1"/>
    </row>
    <row r="403" spans="1:52" x14ac:dyDescent="0.3">
      <c r="A403" s="13"/>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1"/>
    </row>
    <row r="404" spans="1:52" x14ac:dyDescent="0.3">
      <c r="A404" s="13"/>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1"/>
    </row>
    <row r="405" spans="1:52" x14ac:dyDescent="0.3">
      <c r="A405" s="13"/>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1"/>
    </row>
    <row r="406" spans="1:52" x14ac:dyDescent="0.3">
      <c r="A406" s="13"/>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1"/>
    </row>
    <row r="407" spans="1:52" x14ac:dyDescent="0.3">
      <c r="A407" s="13"/>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1"/>
    </row>
    <row r="408" spans="1:52" x14ac:dyDescent="0.3">
      <c r="A408" s="13"/>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1"/>
    </row>
    <row r="409" spans="1:52" x14ac:dyDescent="0.3">
      <c r="A409" s="13"/>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1"/>
    </row>
    <row r="410" spans="1:52" x14ac:dyDescent="0.3">
      <c r="A410" s="13"/>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1"/>
    </row>
    <row r="411" spans="1:52" x14ac:dyDescent="0.3">
      <c r="A411" s="13"/>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1"/>
    </row>
    <row r="412" spans="1:52" x14ac:dyDescent="0.3">
      <c r="A412" s="13"/>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1"/>
    </row>
    <row r="413" spans="1:52" x14ac:dyDescent="0.3">
      <c r="A413" s="13"/>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1"/>
    </row>
    <row r="414" spans="1:52" x14ac:dyDescent="0.3">
      <c r="A414" s="13"/>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1"/>
    </row>
    <row r="415" spans="1:52" x14ac:dyDescent="0.3">
      <c r="A415" s="13"/>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1"/>
    </row>
    <row r="416" spans="1:52" x14ac:dyDescent="0.3">
      <c r="A416" s="13"/>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1"/>
    </row>
    <row r="417" spans="1:52" x14ac:dyDescent="0.3">
      <c r="A417" s="13"/>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1"/>
    </row>
    <row r="418" spans="1:52" x14ac:dyDescent="0.3">
      <c r="A418" s="13"/>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1"/>
    </row>
    <row r="419" spans="1:52" x14ac:dyDescent="0.3">
      <c r="A419" s="13"/>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1"/>
    </row>
    <row r="420" spans="1:52" x14ac:dyDescent="0.3">
      <c r="A420" s="13"/>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1"/>
    </row>
    <row r="421" spans="1:52" x14ac:dyDescent="0.3">
      <c r="A421" s="13"/>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1"/>
    </row>
    <row r="422" spans="1:52" x14ac:dyDescent="0.3">
      <c r="A422" s="13"/>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1"/>
    </row>
    <row r="423" spans="1:52" x14ac:dyDescent="0.3">
      <c r="A423" s="13"/>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1"/>
    </row>
    <row r="424" spans="1:52" x14ac:dyDescent="0.3">
      <c r="A424" s="13"/>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1"/>
    </row>
    <row r="425" spans="1:52" x14ac:dyDescent="0.3">
      <c r="A425" s="13"/>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1"/>
    </row>
    <row r="426" spans="1:52" x14ac:dyDescent="0.3">
      <c r="A426" s="13"/>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1"/>
    </row>
    <row r="427" spans="1:52" x14ac:dyDescent="0.3">
      <c r="A427" s="13"/>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1"/>
    </row>
    <row r="428" spans="1:52" x14ac:dyDescent="0.3">
      <c r="A428" s="13"/>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1"/>
    </row>
    <row r="429" spans="1:52" x14ac:dyDescent="0.3">
      <c r="A429" s="13"/>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1"/>
    </row>
    <row r="430" spans="1:52" x14ac:dyDescent="0.3">
      <c r="A430" s="13"/>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1"/>
    </row>
    <row r="431" spans="1:52" x14ac:dyDescent="0.3">
      <c r="A431" s="13"/>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1"/>
    </row>
    <row r="432" spans="1:52" x14ac:dyDescent="0.3">
      <c r="A432" s="13"/>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1"/>
    </row>
    <row r="433" spans="1:52" x14ac:dyDescent="0.3">
      <c r="A433" s="13"/>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1"/>
    </row>
    <row r="434" spans="1:52" x14ac:dyDescent="0.3">
      <c r="A434" s="13"/>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1"/>
    </row>
    <row r="435" spans="1:52" x14ac:dyDescent="0.3">
      <c r="A435" s="13"/>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1"/>
    </row>
    <row r="436" spans="1:52" x14ac:dyDescent="0.3">
      <c r="A436" s="13"/>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1"/>
    </row>
    <row r="437" spans="1:52" x14ac:dyDescent="0.3">
      <c r="A437" s="13"/>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1"/>
    </row>
    <row r="438" spans="1:52" x14ac:dyDescent="0.3">
      <c r="A438" s="13"/>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1"/>
    </row>
    <row r="439" spans="1:52" x14ac:dyDescent="0.3">
      <c r="A439" s="13"/>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1"/>
    </row>
    <row r="440" spans="1:52" x14ac:dyDescent="0.3">
      <c r="A440" s="13"/>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1"/>
    </row>
    <row r="441" spans="1:52" x14ac:dyDescent="0.3">
      <c r="A441" s="13"/>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1"/>
    </row>
    <row r="442" spans="1:52" x14ac:dyDescent="0.3">
      <c r="A442" s="13"/>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1"/>
    </row>
    <row r="443" spans="1:52" x14ac:dyDescent="0.3">
      <c r="A443" s="13"/>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1"/>
    </row>
    <row r="444" spans="1:52" x14ac:dyDescent="0.3">
      <c r="A444" s="13"/>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1"/>
    </row>
    <row r="445" spans="1:52" x14ac:dyDescent="0.3">
      <c r="A445" s="13"/>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1"/>
    </row>
    <row r="446" spans="1:52" x14ac:dyDescent="0.3">
      <c r="A446" s="13"/>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1"/>
    </row>
    <row r="447" spans="1:52" x14ac:dyDescent="0.3">
      <c r="A447" s="13"/>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1"/>
    </row>
    <row r="448" spans="1:52" x14ac:dyDescent="0.3">
      <c r="A448" s="13"/>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1"/>
    </row>
    <row r="449" spans="1:52" x14ac:dyDescent="0.3">
      <c r="A449" s="13"/>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1"/>
    </row>
    <row r="450" spans="1:52" x14ac:dyDescent="0.3">
      <c r="A450" s="13"/>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1"/>
    </row>
    <row r="451" spans="1:52" x14ac:dyDescent="0.3">
      <c r="A451" s="13"/>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1"/>
    </row>
    <row r="452" spans="1:52" x14ac:dyDescent="0.3">
      <c r="A452" s="13"/>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1"/>
    </row>
    <row r="453" spans="1:52" x14ac:dyDescent="0.3">
      <c r="A453" s="13"/>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1"/>
    </row>
    <row r="454" spans="1:52" x14ac:dyDescent="0.3">
      <c r="A454" s="13"/>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1"/>
    </row>
    <row r="455" spans="1:52" x14ac:dyDescent="0.3">
      <c r="A455" s="13"/>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1"/>
    </row>
    <row r="456" spans="1:52" x14ac:dyDescent="0.3">
      <c r="A456" s="13"/>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1"/>
    </row>
    <row r="457" spans="1:52" x14ac:dyDescent="0.3">
      <c r="A457" s="13"/>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1"/>
    </row>
    <row r="458" spans="1:52" x14ac:dyDescent="0.3">
      <c r="A458" s="13"/>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1"/>
    </row>
    <row r="459" spans="1:52" x14ac:dyDescent="0.3">
      <c r="A459" s="13"/>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1"/>
    </row>
    <row r="460" spans="1:52" x14ac:dyDescent="0.3">
      <c r="A460" s="13"/>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1"/>
    </row>
    <row r="461" spans="1:52" x14ac:dyDescent="0.3">
      <c r="A461" s="13"/>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1"/>
    </row>
    <row r="462" spans="1:52" x14ac:dyDescent="0.3">
      <c r="A462" s="13"/>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1"/>
    </row>
    <row r="463" spans="1:52" x14ac:dyDescent="0.3">
      <c r="A463" s="13"/>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1"/>
    </row>
    <row r="464" spans="1:52" x14ac:dyDescent="0.3">
      <c r="A464" s="13"/>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1"/>
    </row>
    <row r="465" spans="1:52" x14ac:dyDescent="0.3">
      <c r="A465" s="13"/>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1"/>
    </row>
    <row r="466" spans="1:52" x14ac:dyDescent="0.3">
      <c r="A466" s="13"/>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1"/>
    </row>
    <row r="467" spans="1:52" x14ac:dyDescent="0.3">
      <c r="A467" s="13"/>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1"/>
    </row>
    <row r="468" spans="1:52" x14ac:dyDescent="0.3">
      <c r="A468" s="13"/>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1"/>
    </row>
    <row r="469" spans="1:52" x14ac:dyDescent="0.3">
      <c r="A469" s="13"/>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1"/>
    </row>
    <row r="470" spans="1:52" x14ac:dyDescent="0.3">
      <c r="A470" s="13"/>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1"/>
    </row>
    <row r="471" spans="1:52" x14ac:dyDescent="0.3">
      <c r="A471" s="13"/>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1"/>
    </row>
    <row r="472" spans="1:52" x14ac:dyDescent="0.3">
      <c r="A472" s="13"/>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1"/>
    </row>
    <row r="473" spans="1:52" x14ac:dyDescent="0.3">
      <c r="A473" s="13"/>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1"/>
    </row>
    <row r="474" spans="1:52" x14ac:dyDescent="0.3">
      <c r="A474" s="13"/>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1"/>
    </row>
    <row r="475" spans="1:52" x14ac:dyDescent="0.3">
      <c r="A475" s="13"/>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1"/>
    </row>
    <row r="476" spans="1:52" x14ac:dyDescent="0.3">
      <c r="A476" s="13"/>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1"/>
    </row>
    <row r="477" spans="1:52" x14ac:dyDescent="0.3">
      <c r="A477" s="13"/>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1"/>
    </row>
    <row r="478" spans="1:52" x14ac:dyDescent="0.3">
      <c r="A478" s="13"/>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1"/>
    </row>
    <row r="479" spans="1:52" x14ac:dyDescent="0.3">
      <c r="A479" s="13"/>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1"/>
    </row>
    <row r="480" spans="1:52" x14ac:dyDescent="0.3">
      <c r="A480" s="13"/>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1"/>
    </row>
    <row r="481" spans="1:52" x14ac:dyDescent="0.3">
      <c r="A481" s="13"/>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1"/>
    </row>
    <row r="482" spans="1:52" x14ac:dyDescent="0.3">
      <c r="A482" s="13"/>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1"/>
    </row>
    <row r="483" spans="1:52" x14ac:dyDescent="0.3">
      <c r="A483" s="13"/>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1"/>
    </row>
    <row r="484" spans="1:52" x14ac:dyDescent="0.3">
      <c r="A484" s="13"/>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1"/>
    </row>
    <row r="485" spans="1:52" x14ac:dyDescent="0.3">
      <c r="A485" s="13"/>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1"/>
    </row>
    <row r="486" spans="1:52" x14ac:dyDescent="0.3">
      <c r="A486" s="13"/>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1"/>
    </row>
    <row r="487" spans="1:52" x14ac:dyDescent="0.3">
      <c r="A487" s="13"/>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1"/>
    </row>
    <row r="488" spans="1:52" x14ac:dyDescent="0.3">
      <c r="A488" s="13"/>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1"/>
    </row>
    <row r="489" spans="1:52" x14ac:dyDescent="0.3">
      <c r="A489" s="13"/>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1"/>
    </row>
    <row r="490" spans="1:52" x14ac:dyDescent="0.3">
      <c r="A490" s="13"/>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1"/>
    </row>
    <row r="491" spans="1:52" x14ac:dyDescent="0.3">
      <c r="A491" s="13"/>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1"/>
    </row>
    <row r="492" spans="1:52" x14ac:dyDescent="0.3">
      <c r="A492" s="13"/>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1"/>
    </row>
    <row r="493" spans="1:52" x14ac:dyDescent="0.3">
      <c r="A493" s="13"/>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1"/>
    </row>
    <row r="494" spans="1:52" x14ac:dyDescent="0.3">
      <c r="A494" s="13"/>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1"/>
    </row>
    <row r="495" spans="1:52" x14ac:dyDescent="0.3">
      <c r="A495" s="13"/>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1"/>
    </row>
    <row r="496" spans="1:52" x14ac:dyDescent="0.3">
      <c r="A496" s="13"/>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1"/>
    </row>
    <row r="497" spans="1:52" x14ac:dyDescent="0.3">
      <c r="A497" s="13"/>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1"/>
    </row>
    <row r="498" spans="1:52" x14ac:dyDescent="0.3">
      <c r="A498" s="13"/>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1"/>
    </row>
    <row r="499" spans="1:52" x14ac:dyDescent="0.3">
      <c r="A499" s="13"/>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1"/>
    </row>
    <row r="500" spans="1:52" x14ac:dyDescent="0.3">
      <c r="A500" s="13"/>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1"/>
    </row>
    <row r="501" spans="1:52" x14ac:dyDescent="0.3">
      <c r="A501" s="13"/>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1"/>
    </row>
    <row r="502" spans="1:52" x14ac:dyDescent="0.3">
      <c r="A502" s="13"/>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1"/>
    </row>
    <row r="503" spans="1:52" x14ac:dyDescent="0.3">
      <c r="A503" s="13"/>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1"/>
    </row>
    <row r="504" spans="1:52" x14ac:dyDescent="0.3">
      <c r="A504" s="13"/>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1"/>
    </row>
    <row r="505" spans="1:52" x14ac:dyDescent="0.3">
      <c r="A505" s="13"/>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1"/>
    </row>
    <row r="506" spans="1:52" x14ac:dyDescent="0.3">
      <c r="A506" s="13"/>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1"/>
    </row>
    <row r="507" spans="1:52" x14ac:dyDescent="0.3">
      <c r="A507" s="13"/>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1"/>
    </row>
    <row r="508" spans="1:52" x14ac:dyDescent="0.3">
      <c r="A508" s="13"/>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1"/>
    </row>
    <row r="509" spans="1:52" x14ac:dyDescent="0.3">
      <c r="A509" s="13"/>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1"/>
    </row>
    <row r="510" spans="1:52" x14ac:dyDescent="0.3">
      <c r="A510" s="13"/>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1"/>
    </row>
    <row r="511" spans="1:52" x14ac:dyDescent="0.3">
      <c r="A511" s="13"/>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1"/>
    </row>
    <row r="512" spans="1:52" x14ac:dyDescent="0.3">
      <c r="A512" s="13"/>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1"/>
    </row>
    <row r="513" spans="1:52" x14ac:dyDescent="0.3">
      <c r="A513" s="13"/>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1"/>
    </row>
    <row r="514" spans="1:52" x14ac:dyDescent="0.3">
      <c r="A514" s="13"/>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1"/>
    </row>
    <row r="515" spans="1:52" x14ac:dyDescent="0.3">
      <c r="A515" s="13"/>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1"/>
    </row>
    <row r="516" spans="1:52" x14ac:dyDescent="0.3">
      <c r="A516" s="13"/>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1"/>
    </row>
    <row r="517" spans="1:52" x14ac:dyDescent="0.3">
      <c r="A517" s="13"/>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1"/>
    </row>
    <row r="518" spans="1:52" x14ac:dyDescent="0.3">
      <c r="A518" s="13"/>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1"/>
    </row>
    <row r="519" spans="1:52" x14ac:dyDescent="0.3">
      <c r="A519" s="13"/>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1"/>
    </row>
    <row r="520" spans="1:52" x14ac:dyDescent="0.3">
      <c r="A520" s="13"/>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1"/>
    </row>
    <row r="521" spans="1:52" x14ac:dyDescent="0.3">
      <c r="A521" s="13"/>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1"/>
    </row>
    <row r="522" spans="1:52" x14ac:dyDescent="0.3">
      <c r="A522" s="13"/>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1"/>
    </row>
    <row r="523" spans="1:52" x14ac:dyDescent="0.3">
      <c r="A523" s="13"/>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1"/>
    </row>
    <row r="524" spans="1:52" x14ac:dyDescent="0.3">
      <c r="A524" s="13"/>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1"/>
    </row>
    <row r="525" spans="1:52" x14ac:dyDescent="0.3">
      <c r="A525" s="13"/>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1"/>
    </row>
    <row r="526" spans="1:52" x14ac:dyDescent="0.3">
      <c r="A526" s="13"/>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1"/>
    </row>
    <row r="527" spans="1:52" x14ac:dyDescent="0.3">
      <c r="A527" s="13"/>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1"/>
    </row>
    <row r="528" spans="1:52" x14ac:dyDescent="0.3">
      <c r="A528" s="13"/>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1"/>
    </row>
    <row r="529" spans="1:52" x14ac:dyDescent="0.3">
      <c r="A529" s="13"/>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1"/>
    </row>
    <row r="530" spans="1:52" x14ac:dyDescent="0.3">
      <c r="A530" s="13"/>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1"/>
    </row>
    <row r="531" spans="1:52" x14ac:dyDescent="0.3">
      <c r="A531" s="13"/>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1"/>
    </row>
    <row r="532" spans="1:52" x14ac:dyDescent="0.3">
      <c r="A532" s="13"/>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1"/>
    </row>
    <row r="533" spans="1:52" x14ac:dyDescent="0.3">
      <c r="A533" s="13"/>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1"/>
    </row>
    <row r="534" spans="1:52" x14ac:dyDescent="0.3">
      <c r="A534" s="13"/>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1"/>
    </row>
    <row r="535" spans="1:52" x14ac:dyDescent="0.3">
      <c r="A535" s="13"/>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1"/>
    </row>
    <row r="536" spans="1:52" x14ac:dyDescent="0.3">
      <c r="A536" s="13"/>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1"/>
    </row>
    <row r="537" spans="1:52" x14ac:dyDescent="0.3">
      <c r="A537" s="13"/>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1"/>
    </row>
    <row r="538" spans="1:52" x14ac:dyDescent="0.3">
      <c r="A538" s="13"/>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1"/>
    </row>
    <row r="539" spans="1:52" x14ac:dyDescent="0.3">
      <c r="A539" s="13"/>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1"/>
    </row>
    <row r="540" spans="1:52" x14ac:dyDescent="0.3">
      <c r="A540" s="13"/>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1"/>
    </row>
    <row r="541" spans="1:52" x14ac:dyDescent="0.3">
      <c r="A541" s="13"/>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1"/>
    </row>
    <row r="542" spans="1:52" x14ac:dyDescent="0.3">
      <c r="A542" s="13"/>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1"/>
    </row>
    <row r="543" spans="1:52" x14ac:dyDescent="0.3">
      <c r="A543" s="13"/>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1"/>
    </row>
    <row r="544" spans="1:52" x14ac:dyDescent="0.3">
      <c r="A544" s="13"/>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1"/>
    </row>
    <row r="545" spans="1:52" x14ac:dyDescent="0.3">
      <c r="A545" s="13"/>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1"/>
    </row>
    <row r="546" spans="1:52" x14ac:dyDescent="0.3">
      <c r="A546" s="13"/>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1"/>
    </row>
    <row r="547" spans="1:52" x14ac:dyDescent="0.3">
      <c r="A547" s="13"/>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1"/>
    </row>
    <row r="548" spans="1:52" x14ac:dyDescent="0.3">
      <c r="A548" s="13"/>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1"/>
    </row>
    <row r="549" spans="1:52" x14ac:dyDescent="0.3">
      <c r="A549" s="13"/>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1"/>
    </row>
    <row r="550" spans="1:52" x14ac:dyDescent="0.3">
      <c r="A550" s="13"/>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1"/>
    </row>
    <row r="551" spans="1:52" x14ac:dyDescent="0.3">
      <c r="A551" s="13"/>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1"/>
    </row>
    <row r="552" spans="1:52" x14ac:dyDescent="0.3">
      <c r="A552" s="13"/>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1"/>
    </row>
    <row r="553" spans="1:52" x14ac:dyDescent="0.3">
      <c r="A553" s="13"/>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1"/>
    </row>
    <row r="554" spans="1:52" x14ac:dyDescent="0.3">
      <c r="A554" s="13"/>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1"/>
    </row>
    <row r="555" spans="1:52" x14ac:dyDescent="0.3">
      <c r="A555" s="13"/>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1"/>
    </row>
    <row r="556" spans="1:52" x14ac:dyDescent="0.3">
      <c r="A556" s="13"/>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1"/>
    </row>
    <row r="557" spans="1:52" x14ac:dyDescent="0.3">
      <c r="A557" s="13"/>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1"/>
    </row>
    <row r="558" spans="1:52" x14ac:dyDescent="0.3">
      <c r="A558" s="13"/>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1"/>
    </row>
    <row r="559" spans="1:52" x14ac:dyDescent="0.3">
      <c r="A559" s="13"/>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1"/>
    </row>
    <row r="560" spans="1:52" x14ac:dyDescent="0.3">
      <c r="A560" s="13"/>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1"/>
    </row>
    <row r="561" spans="1:52" x14ac:dyDescent="0.3">
      <c r="A561" s="13"/>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1"/>
    </row>
    <row r="562" spans="1:52" x14ac:dyDescent="0.3">
      <c r="A562" s="13"/>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1"/>
    </row>
    <row r="563" spans="1:52" x14ac:dyDescent="0.3">
      <c r="A563" s="13"/>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1"/>
    </row>
    <row r="564" spans="1:52" x14ac:dyDescent="0.3">
      <c r="A564" s="13"/>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1"/>
    </row>
    <row r="565" spans="1:52" x14ac:dyDescent="0.3">
      <c r="A565" s="13"/>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1"/>
    </row>
    <row r="566" spans="1:52" x14ac:dyDescent="0.3">
      <c r="A566" s="13"/>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1"/>
    </row>
    <row r="567" spans="1:52" x14ac:dyDescent="0.3">
      <c r="A567" s="13"/>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1"/>
    </row>
    <row r="568" spans="1:52" x14ac:dyDescent="0.3">
      <c r="A568" s="13"/>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1"/>
    </row>
    <row r="569" spans="1:52" x14ac:dyDescent="0.3">
      <c r="A569" s="13"/>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1"/>
    </row>
    <row r="570" spans="1:52" x14ac:dyDescent="0.3">
      <c r="A570" s="13"/>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1"/>
    </row>
    <row r="571" spans="1:52" x14ac:dyDescent="0.3">
      <c r="A571" s="13"/>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1"/>
    </row>
    <row r="572" spans="1:52" x14ac:dyDescent="0.3">
      <c r="A572" s="13"/>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1"/>
    </row>
    <row r="573" spans="1:52" x14ac:dyDescent="0.3">
      <c r="A573" s="13"/>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1"/>
    </row>
    <row r="574" spans="1:52" x14ac:dyDescent="0.3">
      <c r="A574" s="13"/>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1"/>
    </row>
    <row r="575" spans="1:52" x14ac:dyDescent="0.3">
      <c r="A575" s="13"/>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1"/>
    </row>
    <row r="576" spans="1:52" x14ac:dyDescent="0.3">
      <c r="A576" s="13"/>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1"/>
    </row>
    <row r="577" spans="1:52" x14ac:dyDescent="0.3">
      <c r="A577" s="13"/>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1"/>
    </row>
    <row r="578" spans="1:52" x14ac:dyDescent="0.3">
      <c r="A578" s="13"/>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1"/>
    </row>
    <row r="579" spans="1:52" x14ac:dyDescent="0.3">
      <c r="A579" s="13"/>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1"/>
    </row>
    <row r="580" spans="1:52" x14ac:dyDescent="0.3">
      <c r="A580" s="13"/>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1"/>
    </row>
    <row r="581" spans="1:52" x14ac:dyDescent="0.3">
      <c r="A581" s="13"/>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1"/>
    </row>
    <row r="582" spans="1:52" x14ac:dyDescent="0.3">
      <c r="A582" s="13"/>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1"/>
    </row>
    <row r="583" spans="1:52" x14ac:dyDescent="0.3">
      <c r="A583" s="13"/>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1"/>
    </row>
    <row r="584" spans="1:52" x14ac:dyDescent="0.3">
      <c r="A584" s="13"/>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1"/>
    </row>
    <row r="585" spans="1:52" x14ac:dyDescent="0.3">
      <c r="A585" s="13"/>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1"/>
    </row>
    <row r="586" spans="1:52" x14ac:dyDescent="0.3">
      <c r="A586" s="13"/>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1"/>
    </row>
    <row r="587" spans="1:52" x14ac:dyDescent="0.3">
      <c r="A587" s="13"/>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1"/>
    </row>
    <row r="588" spans="1:52" x14ac:dyDescent="0.3">
      <c r="A588" s="13"/>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1"/>
    </row>
    <row r="589" spans="1:52" x14ac:dyDescent="0.3">
      <c r="A589" s="13"/>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1"/>
    </row>
    <row r="590" spans="1:52" x14ac:dyDescent="0.3">
      <c r="A590" s="13"/>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1"/>
    </row>
    <row r="591" spans="1:52" x14ac:dyDescent="0.3">
      <c r="A591" s="13"/>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1"/>
    </row>
    <row r="592" spans="1:52" x14ac:dyDescent="0.3">
      <c r="A592" s="13"/>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1"/>
    </row>
    <row r="593" spans="1:52" x14ac:dyDescent="0.3">
      <c r="A593" s="13"/>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1"/>
    </row>
    <row r="594" spans="1:52" x14ac:dyDescent="0.3">
      <c r="A594" s="13"/>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1"/>
    </row>
    <row r="595" spans="1:52" x14ac:dyDescent="0.3">
      <c r="A595" s="13"/>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1"/>
    </row>
    <row r="596" spans="1:52" x14ac:dyDescent="0.3">
      <c r="A596" s="13"/>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1"/>
    </row>
    <row r="597" spans="1:52" x14ac:dyDescent="0.3">
      <c r="A597" s="13"/>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1"/>
    </row>
    <row r="598" spans="1:52" x14ac:dyDescent="0.3">
      <c r="A598" s="13"/>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1"/>
    </row>
    <row r="599" spans="1:52" x14ac:dyDescent="0.3">
      <c r="A599" s="13"/>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1"/>
    </row>
    <row r="600" spans="1:52" x14ac:dyDescent="0.3">
      <c r="A600" s="13"/>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1"/>
    </row>
    <row r="601" spans="1:52" x14ac:dyDescent="0.3">
      <c r="A601" s="13"/>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1"/>
    </row>
    <row r="602" spans="1:52" x14ac:dyDescent="0.3">
      <c r="A602" s="13"/>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1"/>
    </row>
    <row r="603" spans="1:52" x14ac:dyDescent="0.3">
      <c r="A603" s="13"/>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1"/>
    </row>
    <row r="604" spans="1:52" x14ac:dyDescent="0.3">
      <c r="A604" s="13"/>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1"/>
    </row>
    <row r="605" spans="1:52" x14ac:dyDescent="0.3">
      <c r="A605" s="13"/>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1"/>
    </row>
    <row r="606" spans="1:52" x14ac:dyDescent="0.3">
      <c r="A606" s="13"/>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1"/>
    </row>
    <row r="607" spans="1:52" x14ac:dyDescent="0.3">
      <c r="A607" s="13"/>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1"/>
    </row>
    <row r="608" spans="1:52" x14ac:dyDescent="0.3">
      <c r="A608" s="13"/>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1"/>
    </row>
    <row r="609" spans="1:52" x14ac:dyDescent="0.3">
      <c r="A609" s="13"/>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1"/>
    </row>
    <row r="610" spans="1:52" x14ac:dyDescent="0.3">
      <c r="A610" s="13"/>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1"/>
    </row>
    <row r="611" spans="1:52" x14ac:dyDescent="0.3">
      <c r="A611" s="13"/>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1"/>
    </row>
    <row r="612" spans="1:52" x14ac:dyDescent="0.3">
      <c r="A612" s="13"/>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1"/>
    </row>
    <row r="613" spans="1:52" x14ac:dyDescent="0.3">
      <c r="A613" s="13"/>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1"/>
    </row>
    <row r="614" spans="1:52" x14ac:dyDescent="0.3">
      <c r="A614" s="13"/>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1"/>
    </row>
    <row r="615" spans="1:52" x14ac:dyDescent="0.3">
      <c r="A615" s="13"/>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1"/>
    </row>
    <row r="616" spans="1:52" x14ac:dyDescent="0.3">
      <c r="A616" s="13"/>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1"/>
    </row>
    <row r="617" spans="1:52" x14ac:dyDescent="0.3">
      <c r="A617" s="13"/>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1"/>
    </row>
    <row r="618" spans="1:52" x14ac:dyDescent="0.3">
      <c r="A618" s="13"/>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1"/>
    </row>
    <row r="619" spans="1:52" x14ac:dyDescent="0.3">
      <c r="A619" s="13"/>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1"/>
    </row>
    <row r="620" spans="1:52" x14ac:dyDescent="0.3">
      <c r="A620" s="13"/>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1"/>
    </row>
    <row r="621" spans="1:52" x14ac:dyDescent="0.3">
      <c r="A621" s="13"/>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1"/>
    </row>
    <row r="622" spans="1:52" x14ac:dyDescent="0.3">
      <c r="A622" s="13"/>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1"/>
    </row>
    <row r="623" spans="1:52" x14ac:dyDescent="0.3">
      <c r="A623" s="13"/>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1"/>
    </row>
    <row r="624" spans="1:52" x14ac:dyDescent="0.3">
      <c r="A624" s="13"/>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1"/>
    </row>
    <row r="625" spans="1:52" x14ac:dyDescent="0.3">
      <c r="A625" s="13"/>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1"/>
    </row>
    <row r="626" spans="1:52" x14ac:dyDescent="0.3">
      <c r="A626" s="13"/>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1"/>
    </row>
    <row r="627" spans="1:52" x14ac:dyDescent="0.3">
      <c r="A627" s="13"/>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1"/>
    </row>
    <row r="628" spans="1:52" x14ac:dyDescent="0.3">
      <c r="A628" s="13"/>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1"/>
    </row>
    <row r="629" spans="1:52" x14ac:dyDescent="0.3">
      <c r="A629" s="13"/>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1"/>
    </row>
    <row r="630" spans="1:52" x14ac:dyDescent="0.3">
      <c r="A630" s="13"/>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1"/>
    </row>
    <row r="631" spans="1:52" x14ac:dyDescent="0.3">
      <c r="A631" s="13"/>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1"/>
    </row>
    <row r="632" spans="1:52" x14ac:dyDescent="0.3">
      <c r="A632" s="13"/>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1"/>
    </row>
    <row r="633" spans="1:52" x14ac:dyDescent="0.3">
      <c r="A633" s="13"/>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1"/>
    </row>
    <row r="634" spans="1:52" x14ac:dyDescent="0.3">
      <c r="A634" s="13"/>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1"/>
    </row>
    <row r="635" spans="1:52" x14ac:dyDescent="0.3">
      <c r="A635" s="13"/>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1"/>
    </row>
    <row r="636" spans="1:52" x14ac:dyDescent="0.3">
      <c r="A636" s="13"/>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1"/>
    </row>
    <row r="637" spans="1:52" x14ac:dyDescent="0.3">
      <c r="A637" s="13"/>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1"/>
    </row>
    <row r="638" spans="1:52" x14ac:dyDescent="0.3">
      <c r="A638" s="13"/>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1"/>
    </row>
    <row r="639" spans="1:52" x14ac:dyDescent="0.3">
      <c r="A639" s="13"/>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1"/>
    </row>
    <row r="640" spans="1:52" x14ac:dyDescent="0.3">
      <c r="A640" s="13"/>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1"/>
    </row>
    <row r="641" spans="1:52" x14ac:dyDescent="0.3">
      <c r="A641" s="13"/>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1"/>
    </row>
    <row r="642" spans="1:52" x14ac:dyDescent="0.3">
      <c r="A642" s="13"/>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1"/>
    </row>
    <row r="643" spans="1:52" x14ac:dyDescent="0.3">
      <c r="A643" s="13"/>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1"/>
    </row>
    <row r="644" spans="1:52" x14ac:dyDescent="0.3">
      <c r="A644" s="13"/>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1"/>
    </row>
    <row r="645" spans="1:52" x14ac:dyDescent="0.3">
      <c r="A645" s="13"/>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1"/>
    </row>
    <row r="646" spans="1:52" x14ac:dyDescent="0.3">
      <c r="A646" s="13"/>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1"/>
    </row>
    <row r="647" spans="1:52" x14ac:dyDescent="0.3">
      <c r="A647" s="13"/>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1"/>
    </row>
    <row r="648" spans="1:52" x14ac:dyDescent="0.3">
      <c r="A648" s="13"/>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1"/>
    </row>
    <row r="649" spans="1:52" x14ac:dyDescent="0.3">
      <c r="A649" s="13"/>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1"/>
    </row>
    <row r="650" spans="1:52" x14ac:dyDescent="0.3">
      <c r="A650" s="13"/>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1"/>
    </row>
    <row r="651" spans="1:52" x14ac:dyDescent="0.3">
      <c r="A651" s="13"/>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1"/>
    </row>
    <row r="652" spans="1:52" x14ac:dyDescent="0.3">
      <c r="A652" s="13"/>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1"/>
    </row>
    <row r="653" spans="1:52" x14ac:dyDescent="0.3">
      <c r="A653" s="13"/>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1"/>
    </row>
    <row r="654" spans="1:52" x14ac:dyDescent="0.3">
      <c r="A654" s="13"/>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1"/>
    </row>
    <row r="655" spans="1:52" x14ac:dyDescent="0.3">
      <c r="A655" s="13"/>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1"/>
    </row>
    <row r="656" spans="1:52" x14ac:dyDescent="0.3">
      <c r="A656" s="13"/>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1"/>
    </row>
    <row r="657" spans="1:52" x14ac:dyDescent="0.3">
      <c r="A657" s="13"/>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1"/>
    </row>
    <row r="658" spans="1:52" x14ac:dyDescent="0.3">
      <c r="A658" s="13"/>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1"/>
    </row>
    <row r="659" spans="1:52" x14ac:dyDescent="0.3">
      <c r="A659" s="13"/>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1"/>
    </row>
    <row r="660" spans="1:52" x14ac:dyDescent="0.3">
      <c r="A660" s="13"/>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1"/>
    </row>
    <row r="661" spans="1:52" x14ac:dyDescent="0.3">
      <c r="A661" s="13"/>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1"/>
    </row>
    <row r="662" spans="1:52" x14ac:dyDescent="0.3">
      <c r="A662" s="13"/>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1"/>
    </row>
    <row r="663" spans="1:52" x14ac:dyDescent="0.3">
      <c r="A663" s="13"/>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1"/>
    </row>
    <row r="664" spans="1:52" x14ac:dyDescent="0.3">
      <c r="A664" s="13"/>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1"/>
    </row>
    <row r="665" spans="1:52" x14ac:dyDescent="0.3">
      <c r="A665" s="13"/>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1"/>
    </row>
    <row r="666" spans="1:52" x14ac:dyDescent="0.3">
      <c r="A666" s="13"/>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1"/>
    </row>
    <row r="667" spans="1:52" x14ac:dyDescent="0.3">
      <c r="A667" s="13"/>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1"/>
    </row>
    <row r="668" spans="1:52" x14ac:dyDescent="0.3">
      <c r="A668" s="13"/>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1"/>
    </row>
    <row r="669" spans="1:52" x14ac:dyDescent="0.3">
      <c r="A669" s="13"/>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1"/>
    </row>
    <row r="670" spans="1:52" x14ac:dyDescent="0.3">
      <c r="A670" s="13"/>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1"/>
    </row>
    <row r="671" spans="1:52" x14ac:dyDescent="0.3">
      <c r="A671" s="13"/>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1"/>
    </row>
    <row r="672" spans="1:52" x14ac:dyDescent="0.3">
      <c r="A672" s="13"/>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1"/>
    </row>
    <row r="673" spans="1:52" x14ac:dyDescent="0.3">
      <c r="A673" s="13"/>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1"/>
    </row>
    <row r="674" spans="1:52" x14ac:dyDescent="0.3">
      <c r="A674" s="13"/>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1"/>
    </row>
    <row r="675" spans="1:52" x14ac:dyDescent="0.3">
      <c r="A675" s="13"/>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1"/>
    </row>
    <row r="676" spans="1:52" x14ac:dyDescent="0.3">
      <c r="A676" s="13"/>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1"/>
    </row>
    <row r="677" spans="1:52" x14ac:dyDescent="0.3">
      <c r="A677" s="13"/>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1"/>
    </row>
    <row r="678" spans="1:52" x14ac:dyDescent="0.3">
      <c r="A678" s="13"/>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1"/>
    </row>
    <row r="679" spans="1:52" x14ac:dyDescent="0.3">
      <c r="A679" s="13"/>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1"/>
    </row>
    <row r="680" spans="1:52" x14ac:dyDescent="0.3">
      <c r="A680" s="13"/>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1"/>
    </row>
    <row r="681" spans="1:52" x14ac:dyDescent="0.3">
      <c r="A681" s="13"/>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1"/>
    </row>
    <row r="682" spans="1:52" x14ac:dyDescent="0.3">
      <c r="A682" s="13"/>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1"/>
    </row>
    <row r="683" spans="1:52" x14ac:dyDescent="0.3">
      <c r="A683" s="13"/>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1"/>
    </row>
    <row r="684" spans="1:52" x14ac:dyDescent="0.3">
      <c r="A684" s="13"/>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1"/>
    </row>
    <row r="685" spans="1:52" x14ac:dyDescent="0.3">
      <c r="A685" s="13"/>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1"/>
    </row>
    <row r="686" spans="1:52" x14ac:dyDescent="0.3">
      <c r="A686" s="13"/>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1"/>
    </row>
    <row r="687" spans="1:52" x14ac:dyDescent="0.3">
      <c r="A687" s="13"/>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1"/>
    </row>
    <row r="688" spans="1:52" x14ac:dyDescent="0.3">
      <c r="A688" s="13"/>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1"/>
    </row>
    <row r="689" spans="1:52" x14ac:dyDescent="0.3">
      <c r="A689" s="13"/>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1"/>
    </row>
    <row r="690" spans="1:52" x14ac:dyDescent="0.3">
      <c r="A690" s="13"/>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1"/>
    </row>
    <row r="691" spans="1:52" x14ac:dyDescent="0.3">
      <c r="A691" s="13"/>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1"/>
    </row>
    <row r="692" spans="1:52" x14ac:dyDescent="0.3">
      <c r="A692" s="13"/>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1"/>
    </row>
    <row r="693" spans="1:52" x14ac:dyDescent="0.3">
      <c r="A693" s="13"/>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1"/>
    </row>
    <row r="694" spans="1:52" x14ac:dyDescent="0.3">
      <c r="A694" s="13"/>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1"/>
    </row>
    <row r="695" spans="1:52" x14ac:dyDescent="0.3">
      <c r="A695" s="13"/>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1"/>
    </row>
    <row r="696" spans="1:52" x14ac:dyDescent="0.3">
      <c r="A696" s="13"/>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1"/>
    </row>
    <row r="697" spans="1:52" x14ac:dyDescent="0.3">
      <c r="A697" s="13"/>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1"/>
    </row>
    <row r="698" spans="1:52" x14ac:dyDescent="0.3">
      <c r="A698" s="13"/>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1"/>
    </row>
    <row r="699" spans="1:52" x14ac:dyDescent="0.3">
      <c r="A699" s="13"/>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1"/>
    </row>
    <row r="700" spans="1:52" x14ac:dyDescent="0.3">
      <c r="A700" s="13"/>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1"/>
    </row>
    <row r="701" spans="1:52" x14ac:dyDescent="0.3">
      <c r="A701" s="13"/>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1"/>
    </row>
    <row r="702" spans="1:52" x14ac:dyDescent="0.3">
      <c r="A702" s="13"/>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1"/>
    </row>
    <row r="703" spans="1:52" x14ac:dyDescent="0.3">
      <c r="A703" s="13"/>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1"/>
    </row>
    <row r="704" spans="1:52" x14ac:dyDescent="0.3">
      <c r="A704" s="13"/>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1"/>
    </row>
    <row r="705" spans="1:52" x14ac:dyDescent="0.3">
      <c r="A705" s="13"/>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1"/>
    </row>
    <row r="706" spans="1:52" x14ac:dyDescent="0.3">
      <c r="A706" s="13"/>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1"/>
    </row>
    <row r="707" spans="1:52" x14ac:dyDescent="0.3">
      <c r="A707" s="13"/>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1"/>
    </row>
    <row r="708" spans="1:52" x14ac:dyDescent="0.3">
      <c r="A708" s="13"/>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1"/>
    </row>
    <row r="709" spans="1:52" x14ac:dyDescent="0.3">
      <c r="A709" s="13"/>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1"/>
    </row>
    <row r="710" spans="1:52" x14ac:dyDescent="0.3">
      <c r="A710" s="13"/>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1"/>
    </row>
    <row r="711" spans="1:52" x14ac:dyDescent="0.3">
      <c r="A711" s="13"/>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1"/>
    </row>
    <row r="712" spans="1:52" x14ac:dyDescent="0.3">
      <c r="A712" s="13"/>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1"/>
    </row>
    <row r="713" spans="1:52" x14ac:dyDescent="0.3">
      <c r="A713" s="13"/>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1"/>
    </row>
    <row r="714" spans="1:52" x14ac:dyDescent="0.3">
      <c r="A714" s="13"/>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1"/>
    </row>
    <row r="715" spans="1:52" x14ac:dyDescent="0.3">
      <c r="A715" s="13"/>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1"/>
    </row>
    <row r="716" spans="1:52" x14ac:dyDescent="0.3">
      <c r="A716" s="13"/>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1"/>
    </row>
    <row r="717" spans="1:52" x14ac:dyDescent="0.3">
      <c r="A717" s="13"/>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1"/>
    </row>
    <row r="718" spans="1:52" x14ac:dyDescent="0.3">
      <c r="A718" s="13"/>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1"/>
    </row>
    <row r="719" spans="1:52" x14ac:dyDescent="0.3">
      <c r="A719" s="13"/>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1"/>
    </row>
    <row r="720" spans="1:52" x14ac:dyDescent="0.3">
      <c r="A720" s="13"/>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1"/>
    </row>
    <row r="721" spans="1:52" x14ac:dyDescent="0.3">
      <c r="A721" s="13"/>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1"/>
    </row>
    <row r="722" spans="1:52" x14ac:dyDescent="0.3">
      <c r="A722" s="13"/>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1"/>
    </row>
    <row r="723" spans="1:52" x14ac:dyDescent="0.3">
      <c r="A723" s="13"/>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1"/>
    </row>
    <row r="724" spans="1:52" x14ac:dyDescent="0.3">
      <c r="A724" s="13"/>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1"/>
    </row>
    <row r="725" spans="1:52" x14ac:dyDescent="0.3">
      <c r="A725" s="13"/>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1"/>
    </row>
    <row r="726" spans="1:52" x14ac:dyDescent="0.3">
      <c r="A726" s="13"/>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1"/>
    </row>
    <row r="727" spans="1:52" x14ac:dyDescent="0.3">
      <c r="A727" s="13"/>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1"/>
    </row>
    <row r="728" spans="1:52" x14ac:dyDescent="0.3">
      <c r="A728" s="13"/>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1"/>
    </row>
    <row r="729" spans="1:52" x14ac:dyDescent="0.3">
      <c r="A729" s="13"/>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1"/>
    </row>
    <row r="730" spans="1:52" x14ac:dyDescent="0.3">
      <c r="A730" s="13"/>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1"/>
    </row>
    <row r="731" spans="1:52" x14ac:dyDescent="0.3">
      <c r="A731" s="13"/>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1"/>
    </row>
    <row r="732" spans="1:52" x14ac:dyDescent="0.3">
      <c r="A732" s="13"/>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1"/>
    </row>
    <row r="733" spans="1:52" x14ac:dyDescent="0.3">
      <c r="A733" s="13"/>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1"/>
    </row>
    <row r="734" spans="1:52" x14ac:dyDescent="0.3">
      <c r="A734" s="13"/>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1"/>
    </row>
    <row r="735" spans="1:52" x14ac:dyDescent="0.3">
      <c r="A735" s="13"/>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1"/>
    </row>
    <row r="736" spans="1:52" x14ac:dyDescent="0.3">
      <c r="A736" s="13"/>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1"/>
    </row>
    <row r="737" spans="1:52" x14ac:dyDescent="0.3">
      <c r="A737" s="13"/>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1"/>
    </row>
    <row r="738" spans="1:52" x14ac:dyDescent="0.3">
      <c r="A738" s="13"/>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1"/>
    </row>
    <row r="739" spans="1:52" x14ac:dyDescent="0.3">
      <c r="A739" s="13"/>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1"/>
    </row>
    <row r="740" spans="1:52" x14ac:dyDescent="0.3">
      <c r="A740" s="13"/>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1"/>
    </row>
    <row r="741" spans="1:52" x14ac:dyDescent="0.3">
      <c r="A741" s="13"/>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1"/>
    </row>
    <row r="742" spans="1:52" x14ac:dyDescent="0.3">
      <c r="A742" s="13"/>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1"/>
    </row>
    <row r="743" spans="1:52" x14ac:dyDescent="0.3">
      <c r="A743" s="13"/>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1"/>
    </row>
    <row r="744" spans="1:52" x14ac:dyDescent="0.3">
      <c r="A744" s="13"/>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1"/>
    </row>
    <row r="745" spans="1:52" x14ac:dyDescent="0.3">
      <c r="A745" s="13"/>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1"/>
    </row>
    <row r="746" spans="1:52" x14ac:dyDescent="0.3">
      <c r="A746" s="13"/>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1"/>
    </row>
    <row r="747" spans="1:52" x14ac:dyDescent="0.3">
      <c r="A747" s="13"/>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1"/>
    </row>
    <row r="748" spans="1:52" x14ac:dyDescent="0.3">
      <c r="A748" s="13"/>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1"/>
    </row>
    <row r="749" spans="1:52" x14ac:dyDescent="0.3">
      <c r="A749" s="13"/>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1"/>
    </row>
    <row r="750" spans="1:52" x14ac:dyDescent="0.3">
      <c r="A750" s="13"/>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1"/>
    </row>
    <row r="751" spans="1:52" x14ac:dyDescent="0.3">
      <c r="A751" s="13"/>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1"/>
    </row>
    <row r="752" spans="1:52" x14ac:dyDescent="0.3">
      <c r="A752" s="13"/>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1"/>
    </row>
    <row r="753" spans="1:52" x14ac:dyDescent="0.3">
      <c r="A753" s="13"/>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1"/>
    </row>
    <row r="754" spans="1:52" x14ac:dyDescent="0.3">
      <c r="A754" s="13"/>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1"/>
    </row>
    <row r="755" spans="1:52" x14ac:dyDescent="0.3">
      <c r="A755" s="13"/>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1"/>
    </row>
    <row r="756" spans="1:52" x14ac:dyDescent="0.3">
      <c r="A756" s="13"/>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1"/>
    </row>
    <row r="757" spans="1:52" x14ac:dyDescent="0.3">
      <c r="A757" s="13"/>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1"/>
    </row>
    <row r="758" spans="1:52" x14ac:dyDescent="0.3">
      <c r="A758" s="13"/>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1"/>
    </row>
    <row r="759" spans="1:52" x14ac:dyDescent="0.3">
      <c r="A759" s="13"/>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1"/>
    </row>
    <row r="760" spans="1:52" x14ac:dyDescent="0.3">
      <c r="A760" s="13"/>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1"/>
    </row>
    <row r="761" spans="1:52" x14ac:dyDescent="0.3">
      <c r="A761" s="13"/>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1"/>
    </row>
    <row r="762" spans="1:52" x14ac:dyDescent="0.3">
      <c r="A762" s="13"/>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1"/>
    </row>
    <row r="763" spans="1:52" x14ac:dyDescent="0.3">
      <c r="A763" s="13"/>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1"/>
    </row>
    <row r="764" spans="1:52" x14ac:dyDescent="0.3">
      <c r="A764" s="13"/>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1"/>
    </row>
    <row r="765" spans="1:52" x14ac:dyDescent="0.3">
      <c r="A765" s="13"/>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1"/>
    </row>
    <row r="766" spans="1:52" x14ac:dyDescent="0.3">
      <c r="A766" s="13"/>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1"/>
    </row>
    <row r="767" spans="1:52" x14ac:dyDescent="0.3">
      <c r="A767" s="13"/>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1"/>
    </row>
    <row r="768" spans="1:52" x14ac:dyDescent="0.3">
      <c r="A768" s="13"/>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1"/>
    </row>
    <row r="769" spans="1:52" x14ac:dyDescent="0.3">
      <c r="A769" s="13"/>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1"/>
    </row>
    <row r="770" spans="1:52" x14ac:dyDescent="0.3">
      <c r="A770" s="13"/>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1"/>
    </row>
    <row r="771" spans="1:52" x14ac:dyDescent="0.3">
      <c r="A771" s="13"/>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1"/>
    </row>
    <row r="772" spans="1:52" x14ac:dyDescent="0.3">
      <c r="A772" s="13"/>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1"/>
    </row>
    <row r="773" spans="1:52" x14ac:dyDescent="0.3">
      <c r="A773" s="13"/>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1"/>
    </row>
    <row r="774" spans="1:52" x14ac:dyDescent="0.3">
      <c r="A774" s="13"/>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1"/>
    </row>
    <row r="775" spans="1:52" x14ac:dyDescent="0.3">
      <c r="A775" s="13"/>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1"/>
    </row>
    <row r="776" spans="1:52" x14ac:dyDescent="0.3">
      <c r="A776" s="13"/>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1"/>
    </row>
    <row r="777" spans="1:52" x14ac:dyDescent="0.3">
      <c r="A777" s="13"/>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1"/>
    </row>
    <row r="778" spans="1:52" x14ac:dyDescent="0.3">
      <c r="A778" s="13"/>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1"/>
    </row>
    <row r="779" spans="1:52" x14ac:dyDescent="0.3">
      <c r="A779" s="13"/>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1"/>
    </row>
    <row r="780" spans="1:52" x14ac:dyDescent="0.3">
      <c r="A780" s="13"/>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1"/>
    </row>
    <row r="781" spans="1:52" x14ac:dyDescent="0.3">
      <c r="A781" s="13"/>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1"/>
    </row>
    <row r="782" spans="1:52" x14ac:dyDescent="0.3">
      <c r="A782" s="13"/>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1"/>
    </row>
    <row r="783" spans="1:52" x14ac:dyDescent="0.3">
      <c r="A783" s="13"/>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1"/>
    </row>
    <row r="784" spans="1:52" x14ac:dyDescent="0.3">
      <c r="A784" s="13"/>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1"/>
    </row>
    <row r="785" spans="1:52" x14ac:dyDescent="0.3">
      <c r="A785" s="13"/>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1"/>
    </row>
    <row r="786" spans="1:52" x14ac:dyDescent="0.3">
      <c r="A786" s="13"/>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1"/>
    </row>
    <row r="787" spans="1:52" x14ac:dyDescent="0.3">
      <c r="A787" s="13"/>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1"/>
    </row>
    <row r="788" spans="1:52" x14ac:dyDescent="0.3">
      <c r="A788" s="13"/>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1"/>
    </row>
    <row r="789" spans="1:52" x14ac:dyDescent="0.3">
      <c r="A789" s="13"/>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1"/>
    </row>
    <row r="790" spans="1:52" x14ac:dyDescent="0.3">
      <c r="A790" s="13"/>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1"/>
    </row>
    <row r="791" spans="1:52" x14ac:dyDescent="0.3">
      <c r="A791" s="13"/>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1"/>
    </row>
    <row r="792" spans="1:52" x14ac:dyDescent="0.3">
      <c r="A792" s="13"/>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1"/>
    </row>
    <row r="793" spans="1:52" x14ac:dyDescent="0.3">
      <c r="A793" s="13"/>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1"/>
    </row>
    <row r="794" spans="1:52" x14ac:dyDescent="0.3">
      <c r="A794" s="13"/>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1"/>
    </row>
    <row r="795" spans="1:52" x14ac:dyDescent="0.3">
      <c r="A795" s="13"/>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1"/>
    </row>
    <row r="796" spans="1:52" x14ac:dyDescent="0.3">
      <c r="A796" s="13"/>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1"/>
    </row>
    <row r="797" spans="1:52" x14ac:dyDescent="0.3">
      <c r="A797" s="13"/>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1"/>
    </row>
    <row r="798" spans="1:52" x14ac:dyDescent="0.3">
      <c r="A798" s="13"/>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1"/>
    </row>
    <row r="799" spans="1:52" x14ac:dyDescent="0.3">
      <c r="A799" s="13"/>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1"/>
    </row>
    <row r="800" spans="1:52" x14ac:dyDescent="0.3">
      <c r="A800" s="13"/>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1"/>
    </row>
    <row r="801" spans="1:52" x14ac:dyDescent="0.3">
      <c r="A801" s="13"/>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1"/>
    </row>
    <row r="802" spans="1:52" x14ac:dyDescent="0.3">
      <c r="A802" s="13"/>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1"/>
    </row>
    <row r="803" spans="1:52" x14ac:dyDescent="0.3">
      <c r="A803" s="13"/>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1"/>
    </row>
    <row r="804" spans="1:52" x14ac:dyDescent="0.3">
      <c r="A804" s="13"/>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1"/>
    </row>
    <row r="805" spans="1:52" x14ac:dyDescent="0.3">
      <c r="A805" s="13"/>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1"/>
    </row>
    <row r="806" spans="1:52" x14ac:dyDescent="0.3">
      <c r="A806" s="13"/>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1"/>
    </row>
    <row r="807" spans="1:52" x14ac:dyDescent="0.3">
      <c r="A807" s="13"/>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1"/>
    </row>
    <row r="808" spans="1:52" x14ac:dyDescent="0.3">
      <c r="A808" s="13"/>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1"/>
    </row>
    <row r="809" spans="1:52" x14ac:dyDescent="0.3">
      <c r="A809" s="13"/>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1"/>
    </row>
    <row r="810" spans="1:52" x14ac:dyDescent="0.3">
      <c r="A810" s="13"/>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1"/>
    </row>
    <row r="811" spans="1:52" x14ac:dyDescent="0.3">
      <c r="A811" s="13"/>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1"/>
    </row>
    <row r="812" spans="1:52" x14ac:dyDescent="0.3">
      <c r="A812" s="13"/>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1"/>
    </row>
    <row r="813" spans="1:52" x14ac:dyDescent="0.3">
      <c r="A813" s="13"/>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1"/>
    </row>
    <row r="814" spans="1:52" x14ac:dyDescent="0.3">
      <c r="A814" s="13"/>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1"/>
    </row>
    <row r="815" spans="1:52" x14ac:dyDescent="0.3">
      <c r="A815" s="13"/>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1"/>
    </row>
    <row r="816" spans="1:52" x14ac:dyDescent="0.3">
      <c r="A816" s="13"/>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1"/>
    </row>
    <row r="817" spans="1:52" x14ac:dyDescent="0.3">
      <c r="A817" s="13"/>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1"/>
    </row>
    <row r="818" spans="1:52" x14ac:dyDescent="0.3">
      <c r="A818" s="13"/>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1"/>
    </row>
    <row r="819" spans="1:52" x14ac:dyDescent="0.3">
      <c r="A819" s="13"/>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1"/>
    </row>
    <row r="820" spans="1:52" x14ac:dyDescent="0.3">
      <c r="A820" s="13"/>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1"/>
    </row>
    <row r="821" spans="1:52" x14ac:dyDescent="0.3">
      <c r="A821" s="13"/>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1"/>
    </row>
    <row r="822" spans="1:52" x14ac:dyDescent="0.3">
      <c r="A822" s="13"/>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1"/>
    </row>
    <row r="823" spans="1:52" x14ac:dyDescent="0.3">
      <c r="A823" s="13"/>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1"/>
    </row>
    <row r="824" spans="1:52" x14ac:dyDescent="0.3">
      <c r="A824" s="13"/>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1"/>
    </row>
    <row r="825" spans="1:52" x14ac:dyDescent="0.3">
      <c r="A825" s="13"/>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1"/>
    </row>
    <row r="826" spans="1:52" x14ac:dyDescent="0.3">
      <c r="A826" s="13"/>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1"/>
    </row>
    <row r="827" spans="1:52" x14ac:dyDescent="0.3">
      <c r="A827" s="13"/>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1"/>
    </row>
    <row r="828" spans="1:52" x14ac:dyDescent="0.3">
      <c r="A828" s="13"/>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1"/>
    </row>
    <row r="829" spans="1:52" x14ac:dyDescent="0.3">
      <c r="A829" s="13"/>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1"/>
    </row>
    <row r="830" spans="1:52" x14ac:dyDescent="0.3">
      <c r="A830" s="13"/>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1"/>
    </row>
    <row r="831" spans="1:52" x14ac:dyDescent="0.3">
      <c r="A831" s="13"/>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1"/>
    </row>
    <row r="832" spans="1:52" x14ac:dyDescent="0.3">
      <c r="A832" s="13"/>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1"/>
    </row>
    <row r="833" spans="1:52" x14ac:dyDescent="0.3">
      <c r="A833" s="13"/>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1"/>
    </row>
    <row r="834" spans="1:52" x14ac:dyDescent="0.3">
      <c r="A834" s="13"/>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1"/>
    </row>
    <row r="835" spans="1:52" x14ac:dyDescent="0.3">
      <c r="A835" s="13"/>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1"/>
    </row>
    <row r="836" spans="1:52" x14ac:dyDescent="0.3">
      <c r="A836" s="13"/>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1"/>
    </row>
    <row r="837" spans="1:52" x14ac:dyDescent="0.3">
      <c r="A837" s="13"/>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1"/>
    </row>
    <row r="838" spans="1:52" x14ac:dyDescent="0.3">
      <c r="A838" s="13"/>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1"/>
    </row>
    <row r="839" spans="1:52" x14ac:dyDescent="0.3">
      <c r="A839" s="13"/>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1"/>
    </row>
    <row r="840" spans="1:52" x14ac:dyDescent="0.3">
      <c r="A840" s="13"/>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1"/>
    </row>
    <row r="841" spans="1:52" x14ac:dyDescent="0.3">
      <c r="A841" s="13"/>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1"/>
    </row>
    <row r="842" spans="1:52" x14ac:dyDescent="0.3">
      <c r="A842" s="13"/>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1"/>
    </row>
    <row r="843" spans="1:52" x14ac:dyDescent="0.3">
      <c r="A843" s="13"/>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1"/>
    </row>
    <row r="844" spans="1:52" x14ac:dyDescent="0.3">
      <c r="A844" s="13"/>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1"/>
    </row>
    <row r="845" spans="1:52" x14ac:dyDescent="0.3">
      <c r="A845" s="13"/>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1"/>
    </row>
    <row r="846" spans="1:52" x14ac:dyDescent="0.3">
      <c r="A846" s="13"/>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1"/>
    </row>
    <row r="847" spans="1:52" x14ac:dyDescent="0.3">
      <c r="A847" s="13"/>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1"/>
    </row>
    <row r="848" spans="1:52" x14ac:dyDescent="0.3">
      <c r="A848" s="13"/>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1"/>
    </row>
    <row r="849" spans="1:52" x14ac:dyDescent="0.3">
      <c r="A849" s="13"/>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1"/>
    </row>
    <row r="850" spans="1:52" x14ac:dyDescent="0.3">
      <c r="A850" s="13"/>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1"/>
    </row>
    <row r="851" spans="1:52" x14ac:dyDescent="0.3">
      <c r="A851" s="13"/>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1"/>
    </row>
    <row r="852" spans="1:52" x14ac:dyDescent="0.3">
      <c r="A852" s="13"/>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1"/>
    </row>
    <row r="853" spans="1:52" x14ac:dyDescent="0.3">
      <c r="A853" s="13"/>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1"/>
    </row>
    <row r="854" spans="1:52" x14ac:dyDescent="0.3">
      <c r="A854" s="13"/>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1"/>
    </row>
    <row r="855" spans="1:52" x14ac:dyDescent="0.3">
      <c r="A855" s="13"/>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1"/>
    </row>
    <row r="856" spans="1:52" x14ac:dyDescent="0.3">
      <c r="A856" s="13"/>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1"/>
    </row>
    <row r="857" spans="1:52" x14ac:dyDescent="0.3">
      <c r="A857" s="13"/>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1"/>
    </row>
    <row r="858" spans="1:52" x14ac:dyDescent="0.3">
      <c r="A858" s="13"/>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1"/>
    </row>
    <row r="859" spans="1:52" x14ac:dyDescent="0.3">
      <c r="A859" s="13"/>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1"/>
    </row>
    <row r="860" spans="1:52" x14ac:dyDescent="0.3">
      <c r="A860" s="13"/>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1"/>
    </row>
    <row r="861" spans="1:52" x14ac:dyDescent="0.3">
      <c r="A861" s="13"/>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1"/>
    </row>
    <row r="862" spans="1:52" x14ac:dyDescent="0.3">
      <c r="A862" s="13"/>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1"/>
    </row>
    <row r="863" spans="1:52" x14ac:dyDescent="0.3">
      <c r="A863" s="13"/>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1"/>
    </row>
    <row r="864" spans="1:52" x14ac:dyDescent="0.3">
      <c r="A864" s="13"/>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1"/>
    </row>
    <row r="865" spans="1:52" x14ac:dyDescent="0.3">
      <c r="A865" s="13"/>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1"/>
    </row>
    <row r="866" spans="1:52" x14ac:dyDescent="0.3">
      <c r="A866" s="13"/>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1"/>
    </row>
    <row r="867" spans="1:52" x14ac:dyDescent="0.3">
      <c r="A867" s="13"/>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1"/>
    </row>
    <row r="868" spans="1:52" x14ac:dyDescent="0.3">
      <c r="A868" s="13"/>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1"/>
    </row>
    <row r="869" spans="1:52" x14ac:dyDescent="0.3">
      <c r="A869" s="13"/>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1"/>
    </row>
    <row r="870" spans="1:52" x14ac:dyDescent="0.3">
      <c r="A870" s="13"/>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1"/>
    </row>
    <row r="871" spans="1:52" x14ac:dyDescent="0.3">
      <c r="A871" s="13"/>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1"/>
    </row>
    <row r="872" spans="1:52" x14ac:dyDescent="0.3">
      <c r="A872" s="13"/>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1"/>
    </row>
    <row r="873" spans="1:52" x14ac:dyDescent="0.3">
      <c r="A873" s="13"/>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1"/>
    </row>
    <row r="874" spans="1:52" x14ac:dyDescent="0.3">
      <c r="A874" s="13"/>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1"/>
    </row>
    <row r="875" spans="1:52" x14ac:dyDescent="0.3">
      <c r="A875" s="13"/>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1"/>
    </row>
    <row r="876" spans="1:52" x14ac:dyDescent="0.3">
      <c r="A876" s="13"/>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1"/>
    </row>
    <row r="877" spans="1:52" x14ac:dyDescent="0.3">
      <c r="A877" s="13"/>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1"/>
    </row>
    <row r="878" spans="1:52" x14ac:dyDescent="0.3">
      <c r="A878" s="13"/>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1"/>
    </row>
    <row r="879" spans="1:52" x14ac:dyDescent="0.3">
      <c r="A879" s="13"/>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1"/>
    </row>
    <row r="880" spans="1:52" x14ac:dyDescent="0.3">
      <c r="A880" s="13"/>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1"/>
    </row>
    <row r="881" spans="1:52" x14ac:dyDescent="0.3">
      <c r="A881" s="13"/>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1"/>
    </row>
    <row r="882" spans="1:52" x14ac:dyDescent="0.3">
      <c r="A882" s="13"/>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1"/>
    </row>
    <row r="883" spans="1:52" x14ac:dyDescent="0.3">
      <c r="A883" s="13"/>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1"/>
    </row>
    <row r="884" spans="1:52" x14ac:dyDescent="0.3">
      <c r="A884" s="13"/>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1"/>
    </row>
    <row r="885" spans="1:52" x14ac:dyDescent="0.3">
      <c r="A885" s="13"/>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1"/>
    </row>
    <row r="886" spans="1:52" x14ac:dyDescent="0.3">
      <c r="A886" s="13"/>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1"/>
    </row>
    <row r="887" spans="1:52" x14ac:dyDescent="0.3">
      <c r="A887" s="13"/>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1"/>
    </row>
    <row r="888" spans="1:52" x14ac:dyDescent="0.3">
      <c r="A888" s="13"/>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1"/>
    </row>
    <row r="889" spans="1:52" x14ac:dyDescent="0.3">
      <c r="A889" s="13"/>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1"/>
    </row>
    <row r="890" spans="1:52" x14ac:dyDescent="0.3">
      <c r="A890" s="13"/>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1"/>
    </row>
    <row r="891" spans="1:52" x14ac:dyDescent="0.3">
      <c r="A891" s="13"/>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1"/>
    </row>
    <row r="892" spans="1:52" x14ac:dyDescent="0.3">
      <c r="A892" s="13"/>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1"/>
    </row>
    <row r="893" spans="1:52" x14ac:dyDescent="0.3">
      <c r="A893" s="13"/>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1"/>
    </row>
    <row r="894" spans="1:52" x14ac:dyDescent="0.3">
      <c r="A894" s="13"/>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1"/>
    </row>
    <row r="895" spans="1:52" x14ac:dyDescent="0.3">
      <c r="A895" s="13"/>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1"/>
    </row>
    <row r="896" spans="1:52" x14ac:dyDescent="0.3">
      <c r="A896" s="13"/>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1"/>
    </row>
    <row r="897" spans="1:52" x14ac:dyDescent="0.3">
      <c r="A897" s="13"/>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1"/>
    </row>
    <row r="898" spans="1:52" x14ac:dyDescent="0.3">
      <c r="A898" s="13"/>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1"/>
    </row>
    <row r="899" spans="1:52" x14ac:dyDescent="0.3">
      <c r="A899" s="13"/>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1"/>
    </row>
    <row r="900" spans="1:52" x14ac:dyDescent="0.3">
      <c r="A900" s="13"/>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1"/>
    </row>
    <row r="901" spans="1:52" x14ac:dyDescent="0.3">
      <c r="A901" s="13"/>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1"/>
    </row>
    <row r="902" spans="1:52" x14ac:dyDescent="0.3">
      <c r="A902" s="13"/>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1"/>
    </row>
    <row r="903" spans="1:52" x14ac:dyDescent="0.3">
      <c r="A903" s="13"/>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1"/>
    </row>
    <row r="904" spans="1:52" x14ac:dyDescent="0.3">
      <c r="A904" s="13"/>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1"/>
    </row>
    <row r="905" spans="1:52" x14ac:dyDescent="0.3">
      <c r="A905" s="13"/>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1"/>
    </row>
    <row r="906" spans="1:52" x14ac:dyDescent="0.3">
      <c r="A906" s="13"/>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1"/>
    </row>
    <row r="907" spans="1:52" x14ac:dyDescent="0.3">
      <c r="A907" s="13"/>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1"/>
    </row>
    <row r="908" spans="1:52" x14ac:dyDescent="0.3">
      <c r="A908" s="13"/>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1"/>
    </row>
    <row r="909" spans="1:52" x14ac:dyDescent="0.3">
      <c r="A909" s="13"/>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1"/>
    </row>
    <row r="910" spans="1:52" x14ac:dyDescent="0.3">
      <c r="A910" s="13"/>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1"/>
    </row>
    <row r="911" spans="1:52" x14ac:dyDescent="0.3">
      <c r="A911" s="13"/>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1"/>
    </row>
    <row r="912" spans="1:52" x14ac:dyDescent="0.3">
      <c r="A912" s="13"/>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1"/>
    </row>
    <row r="913" spans="1:52" x14ac:dyDescent="0.3">
      <c r="A913" s="13"/>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1"/>
    </row>
    <row r="914" spans="1:52" x14ac:dyDescent="0.3">
      <c r="A914" s="13"/>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1"/>
    </row>
    <row r="915" spans="1:52" x14ac:dyDescent="0.3">
      <c r="A915" s="13"/>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1"/>
    </row>
    <row r="916" spans="1:52" x14ac:dyDescent="0.3">
      <c r="A916" s="13"/>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1"/>
    </row>
    <row r="917" spans="1:52" x14ac:dyDescent="0.3">
      <c r="A917" s="13"/>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1"/>
    </row>
    <row r="918" spans="1:52" x14ac:dyDescent="0.3">
      <c r="A918" s="13"/>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1"/>
    </row>
    <row r="919" spans="1:52" x14ac:dyDescent="0.3">
      <c r="A919" s="13"/>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1"/>
    </row>
    <row r="920" spans="1:52" x14ac:dyDescent="0.3">
      <c r="A920" s="13"/>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1"/>
    </row>
    <row r="921" spans="1:52" x14ac:dyDescent="0.3">
      <c r="A921" s="13"/>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1"/>
    </row>
    <row r="922" spans="1:52" x14ac:dyDescent="0.3">
      <c r="A922" s="13"/>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1"/>
    </row>
    <row r="923" spans="1:52" x14ac:dyDescent="0.3">
      <c r="A923" s="13"/>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1"/>
    </row>
    <row r="924" spans="1:52" x14ac:dyDescent="0.3">
      <c r="A924" s="13"/>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1"/>
    </row>
    <row r="925" spans="1:52" x14ac:dyDescent="0.3">
      <c r="A925" s="13"/>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1"/>
    </row>
    <row r="926" spans="1:52" x14ac:dyDescent="0.3">
      <c r="A926" s="13"/>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1"/>
    </row>
    <row r="927" spans="1:52" x14ac:dyDescent="0.3">
      <c r="A927" s="13"/>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1"/>
    </row>
    <row r="928" spans="1:52" x14ac:dyDescent="0.3">
      <c r="A928" s="13"/>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1"/>
    </row>
    <row r="929" spans="1:52" x14ac:dyDescent="0.3">
      <c r="A929" s="13"/>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1"/>
    </row>
    <row r="930" spans="1:52" x14ac:dyDescent="0.3">
      <c r="A930" s="13"/>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1"/>
    </row>
    <row r="931" spans="1:52" x14ac:dyDescent="0.3">
      <c r="A931" s="13"/>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1"/>
    </row>
    <row r="932" spans="1:52" x14ac:dyDescent="0.3">
      <c r="A932" s="13"/>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1"/>
    </row>
    <row r="933" spans="1:52" x14ac:dyDescent="0.3">
      <c r="A933" s="13"/>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1"/>
    </row>
    <row r="934" spans="1:52" x14ac:dyDescent="0.3">
      <c r="A934" s="13"/>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1"/>
    </row>
    <row r="935" spans="1:52" x14ac:dyDescent="0.3">
      <c r="A935" s="13"/>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1"/>
    </row>
    <row r="936" spans="1:52" x14ac:dyDescent="0.3">
      <c r="A936" s="13"/>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1"/>
    </row>
    <row r="937" spans="1:52" x14ac:dyDescent="0.3">
      <c r="A937" s="13"/>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1"/>
    </row>
    <row r="938" spans="1:52" x14ac:dyDescent="0.3">
      <c r="A938" s="13"/>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1"/>
    </row>
    <row r="939" spans="1:52" x14ac:dyDescent="0.3">
      <c r="A939" s="13"/>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1"/>
    </row>
    <row r="940" spans="1:52" x14ac:dyDescent="0.3">
      <c r="A940" s="13"/>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1"/>
    </row>
    <row r="941" spans="1:52" x14ac:dyDescent="0.3">
      <c r="A941" s="13"/>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1"/>
    </row>
    <row r="942" spans="1:52" x14ac:dyDescent="0.3">
      <c r="A942" s="13"/>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1"/>
    </row>
    <row r="943" spans="1:52" x14ac:dyDescent="0.3">
      <c r="A943" s="13"/>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1"/>
    </row>
    <row r="944" spans="1:52" x14ac:dyDescent="0.3">
      <c r="A944" s="13"/>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1"/>
    </row>
    <row r="945" spans="1:52" x14ac:dyDescent="0.3">
      <c r="A945" s="13"/>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1"/>
    </row>
    <row r="946" spans="1:52" x14ac:dyDescent="0.3">
      <c r="A946" s="13"/>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1"/>
    </row>
    <row r="947" spans="1:52" x14ac:dyDescent="0.3">
      <c r="A947" s="13"/>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1"/>
    </row>
    <row r="948" spans="1:52" x14ac:dyDescent="0.3">
      <c r="A948" s="13"/>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1"/>
    </row>
    <row r="949" spans="1:52" x14ac:dyDescent="0.3">
      <c r="A949" s="13"/>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1"/>
    </row>
    <row r="950" spans="1:52" x14ac:dyDescent="0.3">
      <c r="A950" s="13"/>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1"/>
    </row>
    <row r="951" spans="1:52" x14ac:dyDescent="0.3">
      <c r="A951" s="13"/>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1"/>
    </row>
    <row r="952" spans="1:52" x14ac:dyDescent="0.3">
      <c r="A952" s="13"/>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1"/>
    </row>
    <row r="953" spans="1:52" x14ac:dyDescent="0.3">
      <c r="A953" s="13"/>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1"/>
    </row>
    <row r="954" spans="1:52" x14ac:dyDescent="0.3">
      <c r="A954" s="13"/>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1"/>
    </row>
    <row r="955" spans="1:52" x14ac:dyDescent="0.3">
      <c r="A955" s="13"/>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1"/>
    </row>
    <row r="956" spans="1:52" x14ac:dyDescent="0.3">
      <c r="A956" s="13"/>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1"/>
    </row>
    <row r="957" spans="1:52" x14ac:dyDescent="0.3">
      <c r="A957" s="13"/>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1"/>
    </row>
    <row r="958" spans="1:52" x14ac:dyDescent="0.3">
      <c r="A958" s="13"/>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1"/>
    </row>
    <row r="959" spans="1:52" x14ac:dyDescent="0.3">
      <c r="A959" s="13"/>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1"/>
    </row>
    <row r="960" spans="1:52" x14ac:dyDescent="0.3">
      <c r="A960" s="13"/>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1"/>
    </row>
    <row r="961" spans="1:52" x14ac:dyDescent="0.3">
      <c r="A961" s="13"/>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1"/>
    </row>
    <row r="962" spans="1:52" x14ac:dyDescent="0.3">
      <c r="A962" s="13"/>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1"/>
    </row>
    <row r="963" spans="1:52" x14ac:dyDescent="0.3">
      <c r="A963" s="13"/>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1"/>
    </row>
    <row r="964" spans="1:52" x14ac:dyDescent="0.3">
      <c r="A964" s="13"/>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1"/>
    </row>
    <row r="965" spans="1:52" x14ac:dyDescent="0.3">
      <c r="A965" s="13"/>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1"/>
    </row>
    <row r="966" spans="1:52" x14ac:dyDescent="0.3">
      <c r="A966" s="13"/>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1"/>
    </row>
    <row r="967" spans="1:52" x14ac:dyDescent="0.3">
      <c r="A967" s="13"/>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1"/>
    </row>
    <row r="968" spans="1:52" x14ac:dyDescent="0.3">
      <c r="A968" s="13"/>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1"/>
    </row>
    <row r="969" spans="1:52" x14ac:dyDescent="0.3">
      <c r="A969" s="13"/>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1"/>
    </row>
    <row r="970" spans="1:52" x14ac:dyDescent="0.3">
      <c r="A970" s="13"/>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1"/>
    </row>
    <row r="971" spans="1:52" x14ac:dyDescent="0.3">
      <c r="A971" s="13"/>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1"/>
    </row>
    <row r="972" spans="1:52" x14ac:dyDescent="0.3">
      <c r="A972" s="13"/>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1"/>
    </row>
    <row r="973" spans="1:52" x14ac:dyDescent="0.3">
      <c r="A973" s="13"/>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1"/>
    </row>
    <row r="974" spans="1:52" x14ac:dyDescent="0.3">
      <c r="A974" s="13"/>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1"/>
    </row>
    <row r="975" spans="1:52" x14ac:dyDescent="0.3">
      <c r="A975" s="13"/>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1"/>
    </row>
    <row r="976" spans="1:52" x14ac:dyDescent="0.3">
      <c r="A976" s="13"/>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1"/>
    </row>
    <row r="977" spans="1:52" x14ac:dyDescent="0.3">
      <c r="A977" s="13"/>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1"/>
    </row>
    <row r="978" spans="1:52" x14ac:dyDescent="0.3">
      <c r="A978" s="13"/>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1"/>
    </row>
    <row r="979" spans="1:52" x14ac:dyDescent="0.3">
      <c r="A979" s="13"/>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1"/>
    </row>
    <row r="980" spans="1:52" x14ac:dyDescent="0.3">
      <c r="A980" s="13"/>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1"/>
    </row>
    <row r="981" spans="1:52" x14ac:dyDescent="0.3">
      <c r="A981" s="13"/>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1"/>
    </row>
    <row r="982" spans="1:52" x14ac:dyDescent="0.3">
      <c r="A982" s="13"/>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1"/>
    </row>
    <row r="983" spans="1:52" x14ac:dyDescent="0.3">
      <c r="A983" s="13"/>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1"/>
    </row>
    <row r="984" spans="1:52" x14ac:dyDescent="0.3">
      <c r="A984" s="13"/>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1"/>
    </row>
    <row r="985" spans="1:52" x14ac:dyDescent="0.3">
      <c r="A985" s="13"/>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1"/>
    </row>
    <row r="986" spans="1:52" x14ac:dyDescent="0.3">
      <c r="A986" s="13"/>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1"/>
    </row>
    <row r="987" spans="1:52" x14ac:dyDescent="0.3">
      <c r="A987" s="13"/>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1"/>
    </row>
    <row r="988" spans="1:52" x14ac:dyDescent="0.3">
      <c r="A988" s="13"/>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1"/>
    </row>
    <row r="989" spans="1:52" x14ac:dyDescent="0.3">
      <c r="A989" s="13"/>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1"/>
    </row>
    <row r="990" spans="1:52" x14ac:dyDescent="0.3">
      <c r="A990" s="13"/>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1"/>
    </row>
    <row r="991" spans="1:52" x14ac:dyDescent="0.3">
      <c r="A991" s="13"/>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1"/>
    </row>
    <row r="992" spans="1:52" x14ac:dyDescent="0.3">
      <c r="A992" s="13"/>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1"/>
    </row>
    <row r="993" spans="1:52" x14ac:dyDescent="0.3">
      <c r="A993" s="13"/>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1"/>
    </row>
    <row r="994" spans="1:52" x14ac:dyDescent="0.3">
      <c r="A994" s="13"/>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1"/>
    </row>
    <row r="995" spans="1:52" x14ac:dyDescent="0.3">
      <c r="A995" s="13"/>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1"/>
    </row>
    <row r="996" spans="1:52" x14ac:dyDescent="0.3">
      <c r="A996" s="13"/>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1"/>
    </row>
    <row r="997" spans="1:52" x14ac:dyDescent="0.3">
      <c r="A997" s="13"/>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1"/>
    </row>
    <row r="998" spans="1:52" x14ac:dyDescent="0.3">
      <c r="A998" s="13"/>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1"/>
    </row>
    <row r="999" spans="1:52" x14ac:dyDescent="0.3">
      <c r="A999" s="13"/>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1"/>
    </row>
    <row r="1000" spans="1:52" x14ac:dyDescent="0.3">
      <c r="A1000" s="13"/>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1"/>
    </row>
    <row r="1001" spans="1:52" x14ac:dyDescent="0.3">
      <c r="A1001" s="13"/>
      <c r="B1001" s="12"/>
      <c r="C1001" s="12"/>
      <c r="D1001" s="12"/>
      <c r="E1001" s="12"/>
      <c r="F1001" s="12"/>
      <c r="G1001" s="12"/>
      <c r="H1001" s="12"/>
      <c r="I1001" s="12"/>
      <c r="J1001" s="12"/>
      <c r="K1001" s="12"/>
      <c r="L1001" s="12"/>
      <c r="M1001" s="12"/>
      <c r="N1001" s="12"/>
      <c r="O1001" s="12"/>
      <c r="P1001" s="12"/>
      <c r="Q1001" s="12"/>
      <c r="R1001" s="12"/>
      <c r="S1001" s="12"/>
      <c r="T1001" s="12"/>
      <c r="U1001" s="12"/>
      <c r="V1001" s="12"/>
      <c r="W1001" s="12"/>
      <c r="X1001" s="12"/>
      <c r="Y1001" s="12"/>
      <c r="Z1001" s="12"/>
      <c r="AA1001" s="12"/>
      <c r="AB1001" s="12"/>
      <c r="AC1001" s="12"/>
      <c r="AD1001" s="12"/>
      <c r="AE1001" s="12"/>
      <c r="AF1001" s="12"/>
      <c r="AG1001" s="12"/>
      <c r="AH1001" s="12"/>
      <c r="AI1001" s="12"/>
      <c r="AJ1001" s="12"/>
      <c r="AK1001" s="12"/>
      <c r="AL1001" s="12"/>
      <c r="AM1001" s="12"/>
      <c r="AN1001" s="12"/>
      <c r="AO1001" s="12"/>
      <c r="AP1001" s="12"/>
      <c r="AQ1001" s="12"/>
      <c r="AR1001" s="12"/>
      <c r="AS1001" s="12"/>
      <c r="AT1001" s="12"/>
      <c r="AU1001" s="12"/>
      <c r="AV1001" s="12"/>
      <c r="AW1001" s="12"/>
      <c r="AX1001" s="12"/>
      <c r="AY1001" s="12"/>
      <c r="AZ1001" s="11"/>
    </row>
    <row r="1002" spans="1:52" x14ac:dyDescent="0.3">
      <c r="A1002" s="13"/>
      <c r="B1002" s="12"/>
      <c r="C1002" s="12"/>
      <c r="D1002" s="12"/>
      <c r="E1002" s="12"/>
      <c r="F1002" s="12"/>
      <c r="G1002" s="12"/>
      <c r="H1002" s="12"/>
      <c r="I1002" s="12"/>
      <c r="J1002" s="12"/>
      <c r="K1002" s="12"/>
      <c r="L1002" s="12"/>
      <c r="M1002" s="12"/>
      <c r="N1002" s="12"/>
      <c r="O1002" s="12"/>
      <c r="P1002" s="12"/>
      <c r="Q1002" s="12"/>
      <c r="R1002" s="12"/>
      <c r="S1002" s="12"/>
      <c r="T1002" s="12"/>
      <c r="U1002" s="12"/>
      <c r="V1002" s="12"/>
      <c r="W1002" s="12"/>
      <c r="X1002" s="12"/>
      <c r="Y1002" s="12"/>
      <c r="Z1002" s="12"/>
      <c r="AA1002" s="12"/>
      <c r="AB1002" s="12"/>
      <c r="AC1002" s="12"/>
      <c r="AD1002" s="12"/>
      <c r="AE1002" s="12"/>
      <c r="AF1002" s="12"/>
      <c r="AG1002" s="12"/>
      <c r="AH1002" s="12"/>
      <c r="AI1002" s="12"/>
      <c r="AJ1002" s="12"/>
      <c r="AK1002" s="12"/>
      <c r="AL1002" s="12"/>
      <c r="AM1002" s="12"/>
      <c r="AN1002" s="12"/>
      <c r="AO1002" s="12"/>
      <c r="AP1002" s="12"/>
      <c r="AQ1002" s="12"/>
      <c r="AR1002" s="12"/>
      <c r="AS1002" s="12"/>
      <c r="AT1002" s="12"/>
      <c r="AU1002" s="12"/>
      <c r="AV1002" s="12"/>
      <c r="AW1002" s="12"/>
      <c r="AX1002" s="12"/>
      <c r="AY1002" s="12"/>
      <c r="AZ1002" s="11"/>
    </row>
    <row r="1003" spans="1:52" x14ac:dyDescent="0.3">
      <c r="A1003" s="13"/>
      <c r="B1003" s="12"/>
      <c r="C1003" s="12"/>
      <c r="D1003" s="12"/>
      <c r="E1003" s="12"/>
      <c r="F1003" s="12"/>
      <c r="G1003" s="12"/>
      <c r="H1003" s="12"/>
      <c r="I1003" s="12"/>
      <c r="J1003" s="12"/>
      <c r="K1003" s="12"/>
      <c r="L1003" s="12"/>
      <c r="M1003" s="12"/>
      <c r="N1003" s="12"/>
      <c r="O1003" s="12"/>
      <c r="P1003" s="12"/>
      <c r="Q1003" s="12"/>
      <c r="R1003" s="12"/>
      <c r="S1003" s="12"/>
      <c r="T1003" s="12"/>
      <c r="U1003" s="12"/>
      <c r="V1003" s="12"/>
      <c r="W1003" s="12"/>
      <c r="X1003" s="12"/>
      <c r="Y1003" s="12"/>
      <c r="Z1003" s="12"/>
      <c r="AA1003" s="12"/>
      <c r="AB1003" s="12"/>
      <c r="AC1003" s="12"/>
      <c r="AD1003" s="12"/>
      <c r="AE1003" s="12"/>
      <c r="AF1003" s="12"/>
      <c r="AG1003" s="12"/>
      <c r="AH1003" s="12"/>
      <c r="AI1003" s="12"/>
      <c r="AJ1003" s="12"/>
      <c r="AK1003" s="12"/>
      <c r="AL1003" s="12"/>
      <c r="AM1003" s="12"/>
      <c r="AN1003" s="12"/>
      <c r="AO1003" s="12"/>
      <c r="AP1003" s="12"/>
      <c r="AQ1003" s="12"/>
      <c r="AR1003" s="12"/>
      <c r="AS1003" s="12"/>
      <c r="AT1003" s="12"/>
      <c r="AU1003" s="12"/>
      <c r="AV1003" s="12"/>
      <c r="AW1003" s="12"/>
      <c r="AX1003" s="12"/>
      <c r="AY1003" s="12"/>
      <c r="AZ1003" s="11"/>
    </row>
    <row r="1004" spans="1:52" x14ac:dyDescent="0.3">
      <c r="A1004" s="13"/>
      <c r="B1004" s="12"/>
      <c r="C1004" s="12"/>
      <c r="D1004" s="12"/>
      <c r="E1004" s="12"/>
      <c r="F1004" s="12"/>
      <c r="G1004" s="12"/>
      <c r="H1004" s="12"/>
      <c r="I1004" s="12"/>
      <c r="J1004" s="12"/>
      <c r="K1004" s="12"/>
      <c r="L1004" s="12"/>
      <c r="M1004" s="12"/>
      <c r="N1004" s="12"/>
      <c r="O1004" s="12"/>
      <c r="P1004" s="12"/>
      <c r="Q1004" s="12"/>
      <c r="R1004" s="12"/>
      <c r="S1004" s="12"/>
      <c r="T1004" s="12"/>
      <c r="U1004" s="12"/>
      <c r="V1004" s="12"/>
      <c r="W1004" s="12"/>
      <c r="X1004" s="12"/>
      <c r="Y1004" s="12"/>
      <c r="Z1004" s="12"/>
      <c r="AA1004" s="12"/>
      <c r="AB1004" s="12"/>
      <c r="AC1004" s="12"/>
      <c r="AD1004" s="12"/>
      <c r="AE1004" s="12"/>
      <c r="AF1004" s="12"/>
      <c r="AG1004" s="12"/>
      <c r="AH1004" s="12"/>
      <c r="AI1004" s="12"/>
      <c r="AJ1004" s="12"/>
      <c r="AK1004" s="12"/>
      <c r="AL1004" s="12"/>
      <c r="AM1004" s="12"/>
      <c r="AN1004" s="12"/>
      <c r="AO1004" s="12"/>
      <c r="AP1004" s="12"/>
      <c r="AQ1004" s="12"/>
      <c r="AR1004" s="12"/>
      <c r="AS1004" s="12"/>
      <c r="AT1004" s="12"/>
      <c r="AU1004" s="12"/>
      <c r="AV1004" s="12"/>
      <c r="AW1004" s="12"/>
      <c r="AX1004" s="12"/>
      <c r="AY1004" s="12"/>
      <c r="AZ1004" s="11"/>
    </row>
    <row r="1005" spans="1:52" x14ac:dyDescent="0.3">
      <c r="A1005" s="13"/>
      <c r="B1005" s="12"/>
      <c r="C1005" s="12"/>
      <c r="D1005" s="12"/>
      <c r="E1005" s="12"/>
      <c r="F1005" s="12"/>
      <c r="G1005" s="12"/>
      <c r="H1005" s="12"/>
      <c r="I1005" s="12"/>
      <c r="J1005" s="12"/>
      <c r="K1005" s="12"/>
      <c r="L1005" s="12"/>
      <c r="M1005" s="12"/>
      <c r="N1005" s="12"/>
      <c r="O1005" s="12"/>
      <c r="P1005" s="12"/>
      <c r="Q1005" s="12"/>
      <c r="R1005" s="12"/>
      <c r="S1005" s="12"/>
      <c r="T1005" s="12"/>
      <c r="U1005" s="12"/>
      <c r="V1005" s="12"/>
      <c r="W1005" s="12"/>
      <c r="X1005" s="12"/>
      <c r="Y1005" s="12"/>
      <c r="Z1005" s="12"/>
      <c r="AA1005" s="12"/>
      <c r="AB1005" s="12"/>
      <c r="AC1005" s="12"/>
      <c r="AD1005" s="12"/>
      <c r="AE1005" s="12"/>
      <c r="AF1005" s="12"/>
      <c r="AG1005" s="12"/>
      <c r="AH1005" s="12"/>
      <c r="AI1005" s="12"/>
      <c r="AJ1005" s="12"/>
      <c r="AK1005" s="12"/>
      <c r="AL1005" s="12"/>
      <c r="AM1005" s="12"/>
      <c r="AN1005" s="12"/>
      <c r="AO1005" s="12"/>
      <c r="AP1005" s="12"/>
      <c r="AQ1005" s="12"/>
      <c r="AR1005" s="12"/>
      <c r="AS1005" s="12"/>
      <c r="AT1005" s="12"/>
      <c r="AU1005" s="12"/>
      <c r="AV1005" s="12"/>
      <c r="AW1005" s="12"/>
      <c r="AX1005" s="12"/>
      <c r="AY1005" s="12"/>
      <c r="AZ1005" s="11"/>
    </row>
    <row r="1006" spans="1:52" x14ac:dyDescent="0.3">
      <c r="A1006" s="10"/>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c r="AA1006" s="9"/>
      <c r="AB1006" s="9"/>
      <c r="AC1006" s="9"/>
      <c r="AD1006" s="9"/>
      <c r="AE1006" s="9"/>
      <c r="AF1006" s="9"/>
      <c r="AG1006" s="9"/>
      <c r="AH1006" s="9"/>
      <c r="AI1006" s="9"/>
      <c r="AJ1006" s="9"/>
      <c r="AK1006" s="9"/>
      <c r="AL1006" s="9"/>
      <c r="AM1006" s="9"/>
      <c r="AN1006" s="9"/>
      <c r="AO1006" s="9"/>
      <c r="AP1006" s="9"/>
      <c r="AQ1006" s="9"/>
      <c r="AR1006" s="9"/>
      <c r="AS1006" s="9"/>
      <c r="AT1006" s="9"/>
      <c r="AU1006" s="9"/>
      <c r="AV1006" s="9"/>
      <c r="AW1006" s="9"/>
      <c r="AX1006" s="9"/>
      <c r="AY1006" s="9"/>
      <c r="AZ1006" s="8"/>
    </row>
  </sheetData>
  <mergeCells count="18">
    <mergeCell ref="A22:I22"/>
    <mergeCell ref="A23:B23"/>
    <mergeCell ref="D23:E23"/>
    <mergeCell ref="H23:I23"/>
    <mergeCell ref="A15:B15"/>
    <mergeCell ref="A16:B16"/>
    <mergeCell ref="A17:B17"/>
    <mergeCell ref="A18:B18"/>
    <mergeCell ref="A19:B19"/>
    <mergeCell ref="A20:B20"/>
    <mergeCell ref="A14:B14"/>
    <mergeCell ref="E14:F14"/>
    <mergeCell ref="A1:I1"/>
    <mergeCell ref="A6:I6"/>
    <mergeCell ref="A9:B9"/>
    <mergeCell ref="A10:B10"/>
    <mergeCell ref="A13:I13"/>
    <mergeCell ref="A11:B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D997C-EEC7-40BE-B275-0F6699E80EAA}">
  <sheetPr>
    <tabColor theme="5" tint="-0.499984740745262"/>
  </sheetPr>
  <dimension ref="A1:B1007"/>
  <sheetViews>
    <sheetView topLeftCell="A16" workbookViewId="0">
      <selection activeCell="B44" sqref="B44"/>
    </sheetView>
  </sheetViews>
  <sheetFormatPr defaultRowHeight="14.4" x14ac:dyDescent="0.3"/>
  <cols>
    <col min="1" max="1" width="33.33203125" bestFit="1" customWidth="1"/>
    <col min="2" max="2" width="144.5546875" bestFit="1" customWidth="1"/>
  </cols>
  <sheetData>
    <row r="1" spans="1:2" x14ac:dyDescent="0.3">
      <c r="A1" s="50" t="s">
        <v>80</v>
      </c>
      <c r="B1" s="51"/>
    </row>
    <row r="2" spans="1:2" x14ac:dyDescent="0.3">
      <c r="A2" s="5" t="s">
        <v>79</v>
      </c>
      <c r="B2" s="1" t="s">
        <v>78</v>
      </c>
    </row>
    <row r="3" spans="1:2" x14ac:dyDescent="0.3">
      <c r="A3" s="5" t="s">
        <v>77</v>
      </c>
      <c r="B3" s="1" t="s">
        <v>76</v>
      </c>
    </row>
    <row r="4" spans="1:2" x14ac:dyDescent="0.3">
      <c r="A4" s="5" t="s">
        <v>75</v>
      </c>
      <c r="B4" s="1" t="s">
        <v>74</v>
      </c>
    </row>
    <row r="5" spans="1:2" x14ac:dyDescent="0.3">
      <c r="A5" s="5" t="s">
        <v>73</v>
      </c>
      <c r="B5" s="1" t="s">
        <v>72</v>
      </c>
    </row>
    <row r="6" spans="1:2" x14ac:dyDescent="0.3">
      <c r="A6" s="5" t="s">
        <v>71</v>
      </c>
      <c r="B6" s="1" t="s">
        <v>70</v>
      </c>
    </row>
    <row r="7" spans="1:2" x14ac:dyDescent="0.3">
      <c r="A7" s="5" t="s">
        <v>69</v>
      </c>
      <c r="B7" s="1" t="s">
        <v>68</v>
      </c>
    </row>
    <row r="8" spans="1:2" x14ac:dyDescent="0.3">
      <c r="A8" s="5" t="s">
        <v>67</v>
      </c>
      <c r="B8" s="1" t="s">
        <v>66</v>
      </c>
    </row>
    <row r="9" spans="1:2" x14ac:dyDescent="0.3">
      <c r="A9" s="5" t="s">
        <v>65</v>
      </c>
      <c r="B9" s="1" t="s">
        <v>64</v>
      </c>
    </row>
    <row r="10" spans="1:2" x14ac:dyDescent="0.3">
      <c r="A10" s="52"/>
      <c r="B10" s="53"/>
    </row>
    <row r="11" spans="1:2" x14ac:dyDescent="0.3">
      <c r="A11" s="48" t="s">
        <v>63</v>
      </c>
      <c r="B11" s="49"/>
    </row>
    <row r="12" spans="1:2" x14ac:dyDescent="0.3">
      <c r="A12" s="5" t="s">
        <v>62</v>
      </c>
      <c r="B12" s="1" t="s">
        <v>58</v>
      </c>
    </row>
    <row r="13" spans="1:2" x14ac:dyDescent="0.3">
      <c r="A13" s="5" t="s">
        <v>61</v>
      </c>
      <c r="B13" s="1" t="s">
        <v>60</v>
      </c>
    </row>
    <row r="14" spans="1:2" x14ac:dyDescent="0.3">
      <c r="A14" s="5" t="s">
        <v>59</v>
      </c>
      <c r="B14" s="1" t="s">
        <v>58</v>
      </c>
    </row>
    <row r="15" spans="1:2" x14ac:dyDescent="0.3">
      <c r="A15" s="5" t="s">
        <v>57</v>
      </c>
      <c r="B15" s="1" t="s">
        <v>56</v>
      </c>
    </row>
    <row r="16" spans="1:2" x14ac:dyDescent="0.3">
      <c r="A16" s="5" t="s">
        <v>55</v>
      </c>
      <c r="B16" s="6" t="s">
        <v>54</v>
      </c>
    </row>
    <row r="17" spans="1:2" x14ac:dyDescent="0.3">
      <c r="A17" s="52"/>
      <c r="B17" s="53"/>
    </row>
    <row r="18" spans="1:2" x14ac:dyDescent="0.3">
      <c r="A18" s="48" t="s">
        <v>53</v>
      </c>
      <c r="B18" s="49"/>
    </row>
    <row r="19" spans="1:2" x14ac:dyDescent="0.3">
      <c r="A19" s="5" t="s">
        <v>52</v>
      </c>
      <c r="B19" s="1" t="s">
        <v>51</v>
      </c>
    </row>
    <row r="20" spans="1:2" x14ac:dyDescent="0.3">
      <c r="A20" s="5" t="s">
        <v>50</v>
      </c>
      <c r="B20" s="1" t="s">
        <v>49</v>
      </c>
    </row>
    <row r="21" spans="1:2" x14ac:dyDescent="0.3">
      <c r="A21" s="5" t="s">
        <v>48</v>
      </c>
      <c r="B21" s="6" t="s">
        <v>47</v>
      </c>
    </row>
    <row r="22" spans="1:2" x14ac:dyDescent="0.3">
      <c r="A22" s="5" t="s">
        <v>46</v>
      </c>
      <c r="B22" s="1" t="s">
        <v>45</v>
      </c>
    </row>
    <row r="23" spans="1:2" x14ac:dyDescent="0.3">
      <c r="A23" s="5" t="s">
        <v>44</v>
      </c>
      <c r="B23" s="1" t="s">
        <v>43</v>
      </c>
    </row>
    <row r="24" spans="1:2" x14ac:dyDescent="0.3">
      <c r="A24" s="5" t="s">
        <v>42</v>
      </c>
      <c r="B24" s="1" t="s">
        <v>41</v>
      </c>
    </row>
    <row r="25" spans="1:2" x14ac:dyDescent="0.3">
      <c r="A25" s="5" t="s">
        <v>40</v>
      </c>
      <c r="B25" s="1" t="s">
        <v>39</v>
      </c>
    </row>
    <row r="26" spans="1:2" x14ac:dyDescent="0.3">
      <c r="A26" s="5" t="s">
        <v>38</v>
      </c>
      <c r="B26" s="1" t="s">
        <v>37</v>
      </c>
    </row>
    <row r="27" spans="1:2" x14ac:dyDescent="0.3">
      <c r="A27" s="52"/>
      <c r="B27" s="53"/>
    </row>
    <row r="28" spans="1:2" x14ac:dyDescent="0.3">
      <c r="A28" s="48" t="s">
        <v>36</v>
      </c>
      <c r="B28" s="49"/>
    </row>
    <row r="29" spans="1:2" x14ac:dyDescent="0.3">
      <c r="A29" s="5" t="s">
        <v>35</v>
      </c>
      <c r="B29" s="1" t="s">
        <v>34</v>
      </c>
    </row>
    <row r="30" spans="1:2" x14ac:dyDescent="0.3">
      <c r="A30" s="5" t="s">
        <v>33</v>
      </c>
      <c r="B30" s="1" t="s">
        <v>32</v>
      </c>
    </row>
    <row r="31" spans="1:2" x14ac:dyDescent="0.3">
      <c r="A31" s="5" t="s">
        <v>31</v>
      </c>
      <c r="B31" s="1" t="s">
        <v>30</v>
      </c>
    </row>
    <row r="32" spans="1:2" x14ac:dyDescent="0.3">
      <c r="A32" s="5" t="s">
        <v>29</v>
      </c>
      <c r="B32" s="1" t="s">
        <v>28</v>
      </c>
    </row>
    <row r="33" spans="1:2" x14ac:dyDescent="0.3">
      <c r="A33" s="5" t="s">
        <v>27</v>
      </c>
      <c r="B33" s="1" t="s">
        <v>26</v>
      </c>
    </row>
    <row r="34" spans="1:2" x14ac:dyDescent="0.3">
      <c r="A34" s="5" t="s">
        <v>25</v>
      </c>
      <c r="B34" s="1" t="s">
        <v>24</v>
      </c>
    </row>
    <row r="35" spans="1:2" x14ac:dyDescent="0.3">
      <c r="A35" s="5" t="s">
        <v>23</v>
      </c>
      <c r="B35" s="1" t="s">
        <v>22</v>
      </c>
    </row>
    <row r="36" spans="1:2" x14ac:dyDescent="0.3">
      <c r="A36" s="5" t="s">
        <v>21</v>
      </c>
      <c r="B36" s="1" t="s">
        <v>20</v>
      </c>
    </row>
    <row r="37" spans="1:2" x14ac:dyDescent="0.3">
      <c r="A37" s="5" t="s">
        <v>19</v>
      </c>
      <c r="B37" s="1" t="s">
        <v>18</v>
      </c>
    </row>
    <row r="38" spans="1:2" x14ac:dyDescent="0.3">
      <c r="A38" s="5" t="s">
        <v>17</v>
      </c>
      <c r="B38" s="1" t="s">
        <v>16</v>
      </c>
    </row>
    <row r="39" spans="1:2" x14ac:dyDescent="0.3">
      <c r="A39" s="5" t="s">
        <v>15</v>
      </c>
      <c r="B39" s="1" t="s">
        <v>14</v>
      </c>
    </row>
    <row r="40" spans="1:2" x14ac:dyDescent="0.3">
      <c r="A40" s="5" t="s">
        <v>13</v>
      </c>
      <c r="B40" s="1" t="s">
        <v>12</v>
      </c>
    </row>
    <row r="41" spans="1:2" x14ac:dyDescent="0.3">
      <c r="A41" s="5" t="s">
        <v>11</v>
      </c>
      <c r="B41" s="1" t="s">
        <v>10</v>
      </c>
    </row>
    <row r="42" spans="1:2" x14ac:dyDescent="0.3">
      <c r="A42" s="5" t="s">
        <v>9</v>
      </c>
      <c r="B42" s="1" t="s">
        <v>8</v>
      </c>
    </row>
    <row r="43" spans="1:2" x14ac:dyDescent="0.3">
      <c r="A43" s="5" t="s">
        <v>7</v>
      </c>
      <c r="B43" s="1" t="s">
        <v>6</v>
      </c>
    </row>
    <row r="44" spans="1:2" x14ac:dyDescent="0.3">
      <c r="A44" s="5" t="s">
        <v>5</v>
      </c>
      <c r="B44" s="1" t="s">
        <v>4</v>
      </c>
    </row>
    <row r="45" spans="1:2" x14ac:dyDescent="0.3">
      <c r="A45" s="5" t="s">
        <v>3</v>
      </c>
      <c r="B45" s="1" t="s">
        <v>2</v>
      </c>
    </row>
    <row r="46" spans="1:2" x14ac:dyDescent="0.3">
      <c r="A46" s="5" t="s">
        <v>1</v>
      </c>
      <c r="B46" s="1" t="s">
        <v>0</v>
      </c>
    </row>
    <row r="47" spans="1:2" x14ac:dyDescent="0.3">
      <c r="A47" s="4"/>
      <c r="B47" s="3"/>
    </row>
    <row r="48" spans="1:2" x14ac:dyDescent="0.3">
      <c r="A48" s="4"/>
      <c r="B48" s="3"/>
    </row>
    <row r="49" spans="1:2" x14ac:dyDescent="0.3">
      <c r="A49" s="4"/>
      <c r="B49" s="3"/>
    </row>
    <row r="50" spans="1:2" x14ac:dyDescent="0.3">
      <c r="A50" s="4"/>
      <c r="B50" s="3"/>
    </row>
    <row r="51" spans="1:2" x14ac:dyDescent="0.3">
      <c r="A51" s="4"/>
      <c r="B51" s="3"/>
    </row>
    <row r="52" spans="1:2" x14ac:dyDescent="0.3">
      <c r="A52" s="4"/>
      <c r="B52" s="3"/>
    </row>
    <row r="53" spans="1:2" x14ac:dyDescent="0.3">
      <c r="A53" s="4"/>
      <c r="B53" s="3"/>
    </row>
    <row r="54" spans="1:2" x14ac:dyDescent="0.3">
      <c r="A54" s="4"/>
      <c r="B54" s="3"/>
    </row>
    <row r="55" spans="1:2" x14ac:dyDescent="0.3">
      <c r="A55" s="4"/>
      <c r="B55" s="3"/>
    </row>
    <row r="56" spans="1:2" x14ac:dyDescent="0.3">
      <c r="A56" s="4"/>
      <c r="B56" s="3"/>
    </row>
    <row r="57" spans="1:2" x14ac:dyDescent="0.3">
      <c r="A57" s="4"/>
      <c r="B57" s="3"/>
    </row>
    <row r="58" spans="1:2" x14ac:dyDescent="0.3">
      <c r="A58" s="4"/>
      <c r="B58" s="3"/>
    </row>
    <row r="59" spans="1:2" x14ac:dyDescent="0.3">
      <c r="A59" s="4"/>
      <c r="B59" s="3"/>
    </row>
    <row r="60" spans="1:2" x14ac:dyDescent="0.3">
      <c r="A60" s="4"/>
      <c r="B60" s="3"/>
    </row>
    <row r="61" spans="1:2" x14ac:dyDescent="0.3">
      <c r="A61" s="4"/>
      <c r="B61" s="3"/>
    </row>
    <row r="62" spans="1:2" x14ac:dyDescent="0.3">
      <c r="A62" s="4"/>
      <c r="B62" s="3"/>
    </row>
    <row r="63" spans="1:2" x14ac:dyDescent="0.3">
      <c r="A63" s="4"/>
      <c r="B63" s="3"/>
    </row>
    <row r="64" spans="1:2" x14ac:dyDescent="0.3">
      <c r="A64" s="4"/>
      <c r="B64" s="3"/>
    </row>
    <row r="65" spans="1:2" x14ac:dyDescent="0.3">
      <c r="A65" s="4"/>
      <c r="B65" s="3"/>
    </row>
    <row r="66" spans="1:2" x14ac:dyDescent="0.3">
      <c r="A66" s="4"/>
      <c r="B66" s="3"/>
    </row>
    <row r="67" spans="1:2" x14ac:dyDescent="0.3">
      <c r="A67" s="4"/>
      <c r="B67" s="3"/>
    </row>
    <row r="68" spans="1:2" x14ac:dyDescent="0.3">
      <c r="A68" s="4"/>
      <c r="B68" s="3"/>
    </row>
    <row r="69" spans="1:2" x14ac:dyDescent="0.3">
      <c r="A69" s="4"/>
      <c r="B69" s="3"/>
    </row>
    <row r="70" spans="1:2" x14ac:dyDescent="0.3">
      <c r="A70" s="4"/>
      <c r="B70" s="3"/>
    </row>
    <row r="71" spans="1:2" x14ac:dyDescent="0.3">
      <c r="A71" s="4"/>
      <c r="B71" s="3"/>
    </row>
    <row r="72" spans="1:2" x14ac:dyDescent="0.3">
      <c r="A72" s="4"/>
      <c r="B72" s="3"/>
    </row>
    <row r="73" spans="1:2" x14ac:dyDescent="0.3">
      <c r="A73" s="4"/>
      <c r="B73" s="3"/>
    </row>
    <row r="74" spans="1:2" x14ac:dyDescent="0.3">
      <c r="A74" s="4"/>
      <c r="B74" s="3"/>
    </row>
    <row r="75" spans="1:2" x14ac:dyDescent="0.3">
      <c r="A75" s="4"/>
      <c r="B75" s="3"/>
    </row>
    <row r="76" spans="1:2" x14ac:dyDescent="0.3">
      <c r="A76" s="4"/>
      <c r="B76" s="3"/>
    </row>
    <row r="77" spans="1:2" x14ac:dyDescent="0.3">
      <c r="A77" s="4"/>
      <c r="B77" s="3"/>
    </row>
    <row r="78" spans="1:2" x14ac:dyDescent="0.3">
      <c r="A78" s="4"/>
      <c r="B78" s="3"/>
    </row>
    <row r="79" spans="1:2" x14ac:dyDescent="0.3">
      <c r="A79" s="4"/>
      <c r="B79" s="3"/>
    </row>
    <row r="80" spans="1:2" x14ac:dyDescent="0.3">
      <c r="A80" s="4"/>
      <c r="B80" s="3"/>
    </row>
    <row r="81" spans="1:2" x14ac:dyDescent="0.3">
      <c r="A81" s="4"/>
      <c r="B81" s="3"/>
    </row>
    <row r="82" spans="1:2" x14ac:dyDescent="0.3">
      <c r="A82" s="4"/>
      <c r="B82" s="3"/>
    </row>
    <row r="83" spans="1:2" x14ac:dyDescent="0.3">
      <c r="A83" s="4"/>
      <c r="B83" s="3"/>
    </row>
    <row r="84" spans="1:2" x14ac:dyDescent="0.3">
      <c r="A84" s="4"/>
      <c r="B84" s="3"/>
    </row>
    <row r="85" spans="1:2" x14ac:dyDescent="0.3">
      <c r="A85" s="4"/>
      <c r="B85" s="3"/>
    </row>
    <row r="86" spans="1:2" x14ac:dyDescent="0.3">
      <c r="A86" s="4"/>
      <c r="B86" s="3"/>
    </row>
    <row r="87" spans="1:2" x14ac:dyDescent="0.3">
      <c r="A87" s="4"/>
      <c r="B87" s="3"/>
    </row>
    <row r="88" spans="1:2" x14ac:dyDescent="0.3">
      <c r="A88" s="4"/>
      <c r="B88" s="3"/>
    </row>
    <row r="89" spans="1:2" x14ac:dyDescent="0.3">
      <c r="A89" s="4"/>
      <c r="B89" s="3"/>
    </row>
    <row r="90" spans="1:2" x14ac:dyDescent="0.3">
      <c r="A90" s="4"/>
      <c r="B90" s="3"/>
    </row>
    <row r="91" spans="1:2" x14ac:dyDescent="0.3">
      <c r="A91" s="4"/>
      <c r="B91" s="3"/>
    </row>
    <row r="92" spans="1:2" x14ac:dyDescent="0.3">
      <c r="A92" s="4"/>
      <c r="B92" s="3"/>
    </row>
    <row r="93" spans="1:2" x14ac:dyDescent="0.3">
      <c r="A93" s="4"/>
      <c r="B93" s="3"/>
    </row>
    <row r="94" spans="1:2" x14ac:dyDescent="0.3">
      <c r="A94" s="4"/>
      <c r="B94" s="3"/>
    </row>
    <row r="95" spans="1:2" x14ac:dyDescent="0.3">
      <c r="A95" s="4"/>
      <c r="B95" s="3"/>
    </row>
    <row r="96" spans="1:2" x14ac:dyDescent="0.3">
      <c r="A96" s="4"/>
      <c r="B96" s="3"/>
    </row>
    <row r="97" spans="1:2" x14ac:dyDescent="0.3">
      <c r="A97" s="4"/>
      <c r="B97" s="3"/>
    </row>
    <row r="98" spans="1:2" x14ac:dyDescent="0.3">
      <c r="A98" s="4"/>
      <c r="B98" s="3"/>
    </row>
    <row r="99" spans="1:2" x14ac:dyDescent="0.3">
      <c r="A99" s="4"/>
      <c r="B99" s="3"/>
    </row>
    <row r="100" spans="1:2" x14ac:dyDescent="0.3">
      <c r="A100" s="4"/>
      <c r="B100" s="3"/>
    </row>
    <row r="101" spans="1:2" x14ac:dyDescent="0.3">
      <c r="A101" s="4"/>
      <c r="B101" s="3"/>
    </row>
    <row r="102" spans="1:2" x14ac:dyDescent="0.3">
      <c r="A102" s="4"/>
      <c r="B102" s="3"/>
    </row>
    <row r="103" spans="1:2" x14ac:dyDescent="0.3">
      <c r="A103" s="4"/>
      <c r="B103" s="3"/>
    </row>
    <row r="104" spans="1:2" x14ac:dyDescent="0.3">
      <c r="A104" s="4"/>
      <c r="B104" s="3"/>
    </row>
    <row r="105" spans="1:2" x14ac:dyDescent="0.3">
      <c r="A105" s="4"/>
      <c r="B105" s="3"/>
    </row>
    <row r="106" spans="1:2" x14ac:dyDescent="0.3">
      <c r="A106" s="4"/>
      <c r="B106" s="3"/>
    </row>
    <row r="107" spans="1:2" x14ac:dyDescent="0.3">
      <c r="A107" s="4"/>
      <c r="B107" s="3"/>
    </row>
    <row r="108" spans="1:2" x14ac:dyDescent="0.3">
      <c r="A108" s="4"/>
      <c r="B108" s="3"/>
    </row>
    <row r="109" spans="1:2" x14ac:dyDescent="0.3">
      <c r="A109" s="4"/>
      <c r="B109" s="3"/>
    </row>
    <row r="110" spans="1:2" x14ac:dyDescent="0.3">
      <c r="A110" s="4"/>
      <c r="B110" s="3"/>
    </row>
    <row r="111" spans="1:2" x14ac:dyDescent="0.3">
      <c r="A111" s="4"/>
      <c r="B111" s="3"/>
    </row>
    <row r="112" spans="1:2" x14ac:dyDescent="0.3">
      <c r="A112" s="4"/>
      <c r="B112" s="3"/>
    </row>
    <row r="113" spans="1:2" x14ac:dyDescent="0.3">
      <c r="A113" s="4"/>
      <c r="B113" s="3"/>
    </row>
    <row r="114" spans="1:2" x14ac:dyDescent="0.3">
      <c r="A114" s="4"/>
      <c r="B114" s="3"/>
    </row>
    <row r="115" spans="1:2" x14ac:dyDescent="0.3">
      <c r="A115" s="4"/>
      <c r="B115" s="3"/>
    </row>
    <row r="116" spans="1:2" x14ac:dyDescent="0.3">
      <c r="A116" s="4"/>
      <c r="B116" s="3"/>
    </row>
    <row r="117" spans="1:2" x14ac:dyDescent="0.3">
      <c r="A117" s="4"/>
      <c r="B117" s="3"/>
    </row>
    <row r="118" spans="1:2" x14ac:dyDescent="0.3">
      <c r="A118" s="4"/>
      <c r="B118" s="3"/>
    </row>
    <row r="119" spans="1:2" x14ac:dyDescent="0.3">
      <c r="A119" s="4"/>
      <c r="B119" s="3"/>
    </row>
    <row r="120" spans="1:2" x14ac:dyDescent="0.3">
      <c r="A120" s="4"/>
      <c r="B120" s="3"/>
    </row>
    <row r="121" spans="1:2" x14ac:dyDescent="0.3">
      <c r="A121" s="4"/>
      <c r="B121" s="3"/>
    </row>
    <row r="122" spans="1:2" x14ac:dyDescent="0.3">
      <c r="A122" s="4"/>
      <c r="B122" s="3"/>
    </row>
    <row r="123" spans="1:2" x14ac:dyDescent="0.3">
      <c r="A123" s="4"/>
      <c r="B123" s="3"/>
    </row>
    <row r="124" spans="1:2" x14ac:dyDescent="0.3">
      <c r="A124" s="4"/>
      <c r="B124" s="3"/>
    </row>
    <row r="125" spans="1:2" x14ac:dyDescent="0.3">
      <c r="A125" s="4"/>
      <c r="B125" s="3"/>
    </row>
    <row r="126" spans="1:2" x14ac:dyDescent="0.3">
      <c r="A126" s="4"/>
      <c r="B126" s="3"/>
    </row>
    <row r="127" spans="1:2" x14ac:dyDescent="0.3">
      <c r="A127" s="4"/>
      <c r="B127" s="3"/>
    </row>
    <row r="128" spans="1:2" x14ac:dyDescent="0.3">
      <c r="A128" s="4"/>
      <c r="B128" s="3"/>
    </row>
    <row r="129" spans="1:2" x14ac:dyDescent="0.3">
      <c r="A129" s="4"/>
      <c r="B129" s="3"/>
    </row>
    <row r="130" spans="1:2" x14ac:dyDescent="0.3">
      <c r="A130" s="4"/>
      <c r="B130" s="3"/>
    </row>
    <row r="131" spans="1:2" x14ac:dyDescent="0.3">
      <c r="A131" s="4"/>
      <c r="B131" s="3"/>
    </row>
    <row r="132" spans="1:2" x14ac:dyDescent="0.3">
      <c r="A132" s="4"/>
      <c r="B132" s="3"/>
    </row>
    <row r="133" spans="1:2" x14ac:dyDescent="0.3">
      <c r="A133" s="4"/>
      <c r="B133" s="3"/>
    </row>
    <row r="134" spans="1:2" x14ac:dyDescent="0.3">
      <c r="A134" s="4"/>
      <c r="B134" s="3"/>
    </row>
    <row r="135" spans="1:2" x14ac:dyDescent="0.3">
      <c r="A135" s="4"/>
      <c r="B135" s="3"/>
    </row>
    <row r="136" spans="1:2" x14ac:dyDescent="0.3">
      <c r="A136" s="4"/>
      <c r="B136" s="3"/>
    </row>
    <row r="137" spans="1:2" x14ac:dyDescent="0.3">
      <c r="A137" s="4"/>
      <c r="B137" s="3"/>
    </row>
    <row r="138" spans="1:2" x14ac:dyDescent="0.3">
      <c r="A138" s="4"/>
      <c r="B138" s="3"/>
    </row>
    <row r="139" spans="1:2" x14ac:dyDescent="0.3">
      <c r="A139" s="4"/>
      <c r="B139" s="3"/>
    </row>
    <row r="140" spans="1:2" x14ac:dyDescent="0.3">
      <c r="A140" s="4"/>
      <c r="B140" s="3"/>
    </row>
    <row r="141" spans="1:2" x14ac:dyDescent="0.3">
      <c r="A141" s="4"/>
      <c r="B141" s="3"/>
    </row>
    <row r="142" spans="1:2" x14ac:dyDescent="0.3">
      <c r="A142" s="4"/>
      <c r="B142" s="3"/>
    </row>
    <row r="143" spans="1:2" x14ac:dyDescent="0.3">
      <c r="A143" s="4"/>
      <c r="B143" s="3"/>
    </row>
    <row r="144" spans="1:2" x14ac:dyDescent="0.3">
      <c r="A144" s="4"/>
      <c r="B144" s="3"/>
    </row>
    <row r="145" spans="1:2" x14ac:dyDescent="0.3">
      <c r="A145" s="4"/>
      <c r="B145" s="3"/>
    </row>
    <row r="146" spans="1:2" x14ac:dyDescent="0.3">
      <c r="A146" s="4"/>
      <c r="B146" s="3"/>
    </row>
    <row r="147" spans="1:2" x14ac:dyDescent="0.3">
      <c r="A147" s="4"/>
      <c r="B147" s="3"/>
    </row>
    <row r="148" spans="1:2" x14ac:dyDescent="0.3">
      <c r="A148" s="4"/>
      <c r="B148" s="3"/>
    </row>
    <row r="149" spans="1:2" x14ac:dyDescent="0.3">
      <c r="A149" s="4"/>
      <c r="B149" s="3"/>
    </row>
    <row r="150" spans="1:2" x14ac:dyDescent="0.3">
      <c r="A150" s="4"/>
      <c r="B150" s="3"/>
    </row>
    <row r="151" spans="1:2" x14ac:dyDescent="0.3">
      <c r="A151" s="4"/>
      <c r="B151" s="3"/>
    </row>
    <row r="152" spans="1:2" x14ac:dyDescent="0.3">
      <c r="A152" s="4"/>
      <c r="B152" s="3"/>
    </row>
    <row r="153" spans="1:2" x14ac:dyDescent="0.3">
      <c r="A153" s="4"/>
      <c r="B153" s="3"/>
    </row>
    <row r="154" spans="1:2" x14ac:dyDescent="0.3">
      <c r="A154" s="4"/>
      <c r="B154" s="3"/>
    </row>
    <row r="155" spans="1:2" x14ac:dyDescent="0.3">
      <c r="A155" s="4"/>
      <c r="B155" s="3"/>
    </row>
    <row r="156" spans="1:2" x14ac:dyDescent="0.3">
      <c r="A156" s="4"/>
      <c r="B156" s="3"/>
    </row>
    <row r="157" spans="1:2" x14ac:dyDescent="0.3">
      <c r="A157" s="4"/>
      <c r="B157" s="3"/>
    </row>
    <row r="158" spans="1:2" x14ac:dyDescent="0.3">
      <c r="A158" s="4"/>
      <c r="B158" s="3"/>
    </row>
    <row r="159" spans="1:2" x14ac:dyDescent="0.3">
      <c r="A159" s="4"/>
      <c r="B159" s="3"/>
    </row>
    <row r="160" spans="1:2" x14ac:dyDescent="0.3">
      <c r="A160" s="4"/>
      <c r="B160" s="3"/>
    </row>
    <row r="161" spans="1:2" x14ac:dyDescent="0.3">
      <c r="A161" s="4"/>
      <c r="B161" s="3"/>
    </row>
    <row r="162" spans="1:2" x14ac:dyDescent="0.3">
      <c r="A162" s="4"/>
      <c r="B162" s="3"/>
    </row>
    <row r="163" spans="1:2" x14ac:dyDescent="0.3">
      <c r="A163" s="4"/>
      <c r="B163" s="3"/>
    </row>
    <row r="164" spans="1:2" x14ac:dyDescent="0.3">
      <c r="A164" s="4"/>
      <c r="B164" s="3"/>
    </row>
    <row r="165" spans="1:2" x14ac:dyDescent="0.3">
      <c r="A165" s="4"/>
      <c r="B165" s="3"/>
    </row>
    <row r="166" spans="1:2" x14ac:dyDescent="0.3">
      <c r="A166" s="4"/>
      <c r="B166" s="3"/>
    </row>
    <row r="167" spans="1:2" x14ac:dyDescent="0.3">
      <c r="A167" s="4"/>
      <c r="B167" s="3"/>
    </row>
    <row r="168" spans="1:2" x14ac:dyDescent="0.3">
      <c r="A168" s="4"/>
      <c r="B168" s="3"/>
    </row>
    <row r="169" spans="1:2" x14ac:dyDescent="0.3">
      <c r="A169" s="4"/>
      <c r="B169" s="3"/>
    </row>
    <row r="170" spans="1:2" x14ac:dyDescent="0.3">
      <c r="A170" s="4"/>
      <c r="B170" s="3"/>
    </row>
    <row r="171" spans="1:2" x14ac:dyDescent="0.3">
      <c r="A171" s="4"/>
      <c r="B171" s="3"/>
    </row>
    <row r="172" spans="1:2" x14ac:dyDescent="0.3">
      <c r="A172" s="4"/>
      <c r="B172" s="3"/>
    </row>
    <row r="173" spans="1:2" x14ac:dyDescent="0.3">
      <c r="A173" s="4"/>
      <c r="B173" s="3"/>
    </row>
    <row r="174" spans="1:2" x14ac:dyDescent="0.3">
      <c r="A174" s="4"/>
      <c r="B174" s="3"/>
    </row>
    <row r="175" spans="1:2" x14ac:dyDescent="0.3">
      <c r="A175" s="4"/>
      <c r="B175" s="3"/>
    </row>
    <row r="176" spans="1:2" x14ac:dyDescent="0.3">
      <c r="A176" s="4"/>
      <c r="B176" s="3"/>
    </row>
    <row r="177" spans="1:2" x14ac:dyDescent="0.3">
      <c r="A177" s="4"/>
      <c r="B177" s="3"/>
    </row>
    <row r="178" spans="1:2" x14ac:dyDescent="0.3">
      <c r="A178" s="4"/>
      <c r="B178" s="3"/>
    </row>
    <row r="179" spans="1:2" x14ac:dyDescent="0.3">
      <c r="A179" s="4"/>
      <c r="B179" s="3"/>
    </row>
    <row r="180" spans="1:2" x14ac:dyDescent="0.3">
      <c r="A180" s="4"/>
      <c r="B180" s="3"/>
    </row>
    <row r="181" spans="1:2" x14ac:dyDescent="0.3">
      <c r="A181" s="4"/>
      <c r="B181" s="3"/>
    </row>
    <row r="182" spans="1:2" x14ac:dyDescent="0.3">
      <c r="A182" s="4"/>
      <c r="B182" s="3"/>
    </row>
    <row r="183" spans="1:2" x14ac:dyDescent="0.3">
      <c r="A183" s="4"/>
      <c r="B183" s="3"/>
    </row>
    <row r="184" spans="1:2" x14ac:dyDescent="0.3">
      <c r="A184" s="4"/>
      <c r="B184" s="3"/>
    </row>
    <row r="185" spans="1:2" x14ac:dyDescent="0.3">
      <c r="A185" s="4"/>
      <c r="B185" s="3"/>
    </row>
    <row r="186" spans="1:2" x14ac:dyDescent="0.3">
      <c r="A186" s="4"/>
      <c r="B186" s="3"/>
    </row>
    <row r="187" spans="1:2" x14ac:dyDescent="0.3">
      <c r="A187" s="4"/>
      <c r="B187" s="3"/>
    </row>
    <row r="188" spans="1:2" x14ac:dyDescent="0.3">
      <c r="A188" s="4"/>
      <c r="B188" s="3"/>
    </row>
    <row r="189" spans="1:2" x14ac:dyDescent="0.3">
      <c r="A189" s="4"/>
      <c r="B189" s="3"/>
    </row>
    <row r="190" spans="1:2" x14ac:dyDescent="0.3">
      <c r="A190" s="4"/>
      <c r="B190" s="3"/>
    </row>
    <row r="191" spans="1:2" x14ac:dyDescent="0.3">
      <c r="A191" s="4"/>
      <c r="B191" s="3"/>
    </row>
    <row r="192" spans="1:2" x14ac:dyDescent="0.3">
      <c r="A192" s="4"/>
      <c r="B192" s="3"/>
    </row>
    <row r="193" spans="1:2" x14ac:dyDescent="0.3">
      <c r="A193" s="4"/>
      <c r="B193" s="3"/>
    </row>
    <row r="194" spans="1:2" x14ac:dyDescent="0.3">
      <c r="A194" s="4"/>
      <c r="B194" s="3"/>
    </row>
    <row r="195" spans="1:2" x14ac:dyDescent="0.3">
      <c r="A195" s="4"/>
      <c r="B195" s="3"/>
    </row>
    <row r="196" spans="1:2" x14ac:dyDescent="0.3">
      <c r="A196" s="4"/>
      <c r="B196" s="3"/>
    </row>
    <row r="197" spans="1:2" x14ac:dyDescent="0.3">
      <c r="A197" s="4"/>
      <c r="B197" s="3"/>
    </row>
    <row r="198" spans="1:2" x14ac:dyDescent="0.3">
      <c r="A198" s="4"/>
      <c r="B198" s="3"/>
    </row>
    <row r="199" spans="1:2" x14ac:dyDescent="0.3">
      <c r="A199" s="4"/>
      <c r="B199" s="3"/>
    </row>
    <row r="200" spans="1:2" x14ac:dyDescent="0.3">
      <c r="A200" s="4"/>
      <c r="B200" s="3"/>
    </row>
    <row r="201" spans="1:2" x14ac:dyDescent="0.3">
      <c r="A201" s="4"/>
      <c r="B201" s="3"/>
    </row>
    <row r="202" spans="1:2" x14ac:dyDescent="0.3">
      <c r="A202" s="4"/>
      <c r="B202" s="3"/>
    </row>
    <row r="203" spans="1:2" x14ac:dyDescent="0.3">
      <c r="A203" s="4"/>
      <c r="B203" s="3"/>
    </row>
    <row r="204" spans="1:2" x14ac:dyDescent="0.3">
      <c r="A204" s="4"/>
      <c r="B204" s="3"/>
    </row>
    <row r="205" spans="1:2" x14ac:dyDescent="0.3">
      <c r="A205" s="4"/>
      <c r="B205" s="3"/>
    </row>
    <row r="206" spans="1:2" x14ac:dyDescent="0.3">
      <c r="A206" s="4"/>
      <c r="B206" s="3"/>
    </row>
    <row r="207" spans="1:2" x14ac:dyDescent="0.3">
      <c r="A207" s="4"/>
      <c r="B207" s="3"/>
    </row>
    <row r="208" spans="1:2" x14ac:dyDescent="0.3">
      <c r="A208" s="4"/>
      <c r="B208" s="3"/>
    </row>
    <row r="209" spans="1:2" x14ac:dyDescent="0.3">
      <c r="A209" s="4"/>
      <c r="B209" s="3"/>
    </row>
    <row r="210" spans="1:2" x14ac:dyDescent="0.3">
      <c r="A210" s="4"/>
      <c r="B210" s="3"/>
    </row>
    <row r="211" spans="1:2" x14ac:dyDescent="0.3">
      <c r="A211" s="4"/>
      <c r="B211" s="3"/>
    </row>
    <row r="212" spans="1:2" x14ac:dyDescent="0.3">
      <c r="A212" s="4"/>
      <c r="B212" s="3"/>
    </row>
    <row r="213" spans="1:2" x14ac:dyDescent="0.3">
      <c r="A213" s="4"/>
      <c r="B213" s="3"/>
    </row>
    <row r="214" spans="1:2" x14ac:dyDescent="0.3">
      <c r="A214" s="4"/>
      <c r="B214" s="3"/>
    </row>
    <row r="215" spans="1:2" x14ac:dyDescent="0.3">
      <c r="A215" s="4"/>
      <c r="B215" s="3"/>
    </row>
    <row r="216" spans="1:2" x14ac:dyDescent="0.3">
      <c r="A216" s="4"/>
      <c r="B216" s="3"/>
    </row>
    <row r="217" spans="1:2" x14ac:dyDescent="0.3">
      <c r="A217" s="4"/>
      <c r="B217" s="3"/>
    </row>
    <row r="218" spans="1:2" x14ac:dyDescent="0.3">
      <c r="A218" s="4"/>
      <c r="B218" s="3"/>
    </row>
    <row r="219" spans="1:2" x14ac:dyDescent="0.3">
      <c r="A219" s="4"/>
      <c r="B219" s="3"/>
    </row>
    <row r="220" spans="1:2" x14ac:dyDescent="0.3">
      <c r="A220" s="4"/>
      <c r="B220" s="3"/>
    </row>
    <row r="221" spans="1:2" x14ac:dyDescent="0.3">
      <c r="A221" s="4"/>
      <c r="B221" s="3"/>
    </row>
    <row r="222" spans="1:2" x14ac:dyDescent="0.3">
      <c r="A222" s="4"/>
      <c r="B222" s="3"/>
    </row>
    <row r="223" spans="1:2" x14ac:dyDescent="0.3">
      <c r="A223" s="4"/>
      <c r="B223" s="3"/>
    </row>
    <row r="224" spans="1:2" x14ac:dyDescent="0.3">
      <c r="A224" s="4"/>
      <c r="B224" s="3"/>
    </row>
    <row r="225" spans="1:2" x14ac:dyDescent="0.3">
      <c r="A225" s="4"/>
      <c r="B225" s="3"/>
    </row>
    <row r="226" spans="1:2" x14ac:dyDescent="0.3">
      <c r="A226" s="4"/>
      <c r="B226" s="3"/>
    </row>
    <row r="227" spans="1:2" x14ac:dyDescent="0.3">
      <c r="A227" s="4"/>
      <c r="B227" s="3"/>
    </row>
    <row r="228" spans="1:2" x14ac:dyDescent="0.3">
      <c r="A228" s="4"/>
      <c r="B228" s="3"/>
    </row>
    <row r="229" spans="1:2" x14ac:dyDescent="0.3">
      <c r="A229" s="4"/>
      <c r="B229" s="3"/>
    </row>
    <row r="230" spans="1:2" x14ac:dyDescent="0.3">
      <c r="A230" s="4"/>
      <c r="B230" s="3"/>
    </row>
    <row r="231" spans="1:2" x14ac:dyDescent="0.3">
      <c r="A231" s="4"/>
      <c r="B231" s="3"/>
    </row>
    <row r="232" spans="1:2" x14ac:dyDescent="0.3">
      <c r="A232" s="4"/>
      <c r="B232" s="3"/>
    </row>
    <row r="233" spans="1:2" x14ac:dyDescent="0.3">
      <c r="A233" s="4"/>
      <c r="B233" s="3"/>
    </row>
    <row r="234" spans="1:2" x14ac:dyDescent="0.3">
      <c r="A234" s="4"/>
      <c r="B234" s="3"/>
    </row>
    <row r="235" spans="1:2" x14ac:dyDescent="0.3">
      <c r="A235" s="4"/>
      <c r="B235" s="3"/>
    </row>
    <row r="236" spans="1:2" x14ac:dyDescent="0.3">
      <c r="A236" s="4"/>
      <c r="B236" s="3"/>
    </row>
    <row r="237" spans="1:2" x14ac:dyDescent="0.3">
      <c r="A237" s="4"/>
      <c r="B237" s="3"/>
    </row>
    <row r="238" spans="1:2" x14ac:dyDescent="0.3">
      <c r="A238" s="4"/>
      <c r="B238" s="3"/>
    </row>
    <row r="239" spans="1:2" x14ac:dyDescent="0.3">
      <c r="A239" s="4"/>
      <c r="B239" s="3"/>
    </row>
    <row r="240" spans="1:2" x14ac:dyDescent="0.3">
      <c r="A240" s="4"/>
      <c r="B240" s="3"/>
    </row>
    <row r="241" spans="1:2" x14ac:dyDescent="0.3">
      <c r="A241" s="4"/>
      <c r="B241" s="3"/>
    </row>
    <row r="242" spans="1:2" x14ac:dyDescent="0.3">
      <c r="A242" s="4"/>
      <c r="B242" s="3"/>
    </row>
    <row r="243" spans="1:2" x14ac:dyDescent="0.3">
      <c r="A243" s="4"/>
      <c r="B243" s="3"/>
    </row>
    <row r="244" spans="1:2" x14ac:dyDescent="0.3">
      <c r="A244" s="4"/>
      <c r="B244" s="3"/>
    </row>
    <row r="245" spans="1:2" x14ac:dyDescent="0.3">
      <c r="A245" s="4"/>
      <c r="B245" s="3"/>
    </row>
    <row r="246" spans="1:2" x14ac:dyDescent="0.3">
      <c r="A246" s="4"/>
      <c r="B246" s="3"/>
    </row>
    <row r="247" spans="1:2" x14ac:dyDescent="0.3">
      <c r="A247" s="4"/>
      <c r="B247" s="3"/>
    </row>
    <row r="248" spans="1:2" x14ac:dyDescent="0.3">
      <c r="A248" s="4"/>
      <c r="B248" s="3"/>
    </row>
    <row r="249" spans="1:2" x14ac:dyDescent="0.3">
      <c r="A249" s="4"/>
      <c r="B249" s="3"/>
    </row>
    <row r="250" spans="1:2" x14ac:dyDescent="0.3">
      <c r="A250" s="4"/>
      <c r="B250" s="3"/>
    </row>
    <row r="251" spans="1:2" x14ac:dyDescent="0.3">
      <c r="A251" s="4"/>
      <c r="B251" s="3"/>
    </row>
    <row r="252" spans="1:2" x14ac:dyDescent="0.3">
      <c r="A252" s="4"/>
      <c r="B252" s="3"/>
    </row>
    <row r="253" spans="1:2" x14ac:dyDescent="0.3">
      <c r="A253" s="4"/>
      <c r="B253" s="3"/>
    </row>
    <row r="254" spans="1:2" x14ac:dyDescent="0.3">
      <c r="A254" s="4"/>
      <c r="B254" s="3"/>
    </row>
    <row r="255" spans="1:2" x14ac:dyDescent="0.3">
      <c r="A255" s="4"/>
      <c r="B255" s="3"/>
    </row>
    <row r="256" spans="1:2" x14ac:dyDescent="0.3">
      <c r="A256" s="4"/>
      <c r="B256" s="3"/>
    </row>
    <row r="257" spans="1:2" x14ac:dyDescent="0.3">
      <c r="A257" s="4"/>
      <c r="B257" s="3"/>
    </row>
    <row r="258" spans="1:2" x14ac:dyDescent="0.3">
      <c r="A258" s="4"/>
      <c r="B258" s="3"/>
    </row>
    <row r="259" spans="1:2" x14ac:dyDescent="0.3">
      <c r="A259" s="4"/>
      <c r="B259" s="3"/>
    </row>
    <row r="260" spans="1:2" x14ac:dyDescent="0.3">
      <c r="A260" s="4"/>
      <c r="B260" s="3"/>
    </row>
    <row r="261" spans="1:2" x14ac:dyDescent="0.3">
      <c r="A261" s="4"/>
      <c r="B261" s="3"/>
    </row>
    <row r="262" spans="1:2" x14ac:dyDescent="0.3">
      <c r="A262" s="4"/>
      <c r="B262" s="3"/>
    </row>
    <row r="263" spans="1:2" x14ac:dyDescent="0.3">
      <c r="A263" s="4"/>
      <c r="B263" s="3"/>
    </row>
    <row r="264" spans="1:2" x14ac:dyDescent="0.3">
      <c r="A264" s="4"/>
      <c r="B264" s="3"/>
    </row>
    <row r="265" spans="1:2" x14ac:dyDescent="0.3">
      <c r="A265" s="4"/>
      <c r="B265" s="3"/>
    </row>
    <row r="266" spans="1:2" x14ac:dyDescent="0.3">
      <c r="A266" s="4"/>
      <c r="B266" s="3"/>
    </row>
    <row r="267" spans="1:2" x14ac:dyDescent="0.3">
      <c r="A267" s="4"/>
      <c r="B267" s="3"/>
    </row>
    <row r="268" spans="1:2" x14ac:dyDescent="0.3">
      <c r="A268" s="4"/>
      <c r="B268" s="3"/>
    </row>
    <row r="269" spans="1:2" x14ac:dyDescent="0.3">
      <c r="A269" s="4"/>
      <c r="B269" s="3"/>
    </row>
    <row r="270" spans="1:2" x14ac:dyDescent="0.3">
      <c r="A270" s="4"/>
      <c r="B270" s="3"/>
    </row>
    <row r="271" spans="1:2" x14ac:dyDescent="0.3">
      <c r="A271" s="4"/>
      <c r="B271" s="3"/>
    </row>
    <row r="272" spans="1:2" x14ac:dyDescent="0.3">
      <c r="A272" s="4"/>
      <c r="B272" s="3"/>
    </row>
    <row r="273" spans="1:2" x14ac:dyDescent="0.3">
      <c r="A273" s="4"/>
      <c r="B273" s="3"/>
    </row>
    <row r="274" spans="1:2" x14ac:dyDescent="0.3">
      <c r="A274" s="4"/>
      <c r="B274" s="3"/>
    </row>
    <row r="275" spans="1:2" x14ac:dyDescent="0.3">
      <c r="A275" s="4"/>
      <c r="B275" s="3"/>
    </row>
    <row r="276" spans="1:2" x14ac:dyDescent="0.3">
      <c r="A276" s="4"/>
      <c r="B276" s="3"/>
    </row>
    <row r="277" spans="1:2" x14ac:dyDescent="0.3">
      <c r="A277" s="4"/>
      <c r="B277" s="3"/>
    </row>
    <row r="278" spans="1:2" x14ac:dyDescent="0.3">
      <c r="A278" s="4"/>
      <c r="B278" s="3"/>
    </row>
    <row r="279" spans="1:2" x14ac:dyDescent="0.3">
      <c r="A279" s="4"/>
      <c r="B279" s="3"/>
    </row>
    <row r="280" spans="1:2" x14ac:dyDescent="0.3">
      <c r="A280" s="4"/>
      <c r="B280" s="3"/>
    </row>
    <row r="281" spans="1:2" x14ac:dyDescent="0.3">
      <c r="A281" s="4"/>
      <c r="B281" s="3"/>
    </row>
    <row r="282" spans="1:2" x14ac:dyDescent="0.3">
      <c r="A282" s="4"/>
      <c r="B282" s="3"/>
    </row>
    <row r="283" spans="1:2" x14ac:dyDescent="0.3">
      <c r="A283" s="4"/>
      <c r="B283" s="3"/>
    </row>
    <row r="284" spans="1:2" x14ac:dyDescent="0.3">
      <c r="A284" s="4"/>
      <c r="B284" s="3"/>
    </row>
    <row r="285" spans="1:2" x14ac:dyDescent="0.3">
      <c r="A285" s="4"/>
      <c r="B285" s="3"/>
    </row>
    <row r="286" spans="1:2" x14ac:dyDescent="0.3">
      <c r="A286" s="4"/>
      <c r="B286" s="3"/>
    </row>
    <row r="287" spans="1:2" x14ac:dyDescent="0.3">
      <c r="A287" s="4"/>
      <c r="B287" s="3"/>
    </row>
    <row r="288" spans="1:2" x14ac:dyDescent="0.3">
      <c r="A288" s="4"/>
      <c r="B288" s="3"/>
    </row>
    <row r="289" spans="1:2" x14ac:dyDescent="0.3">
      <c r="A289" s="4"/>
      <c r="B289" s="3"/>
    </row>
    <row r="290" spans="1:2" x14ac:dyDescent="0.3">
      <c r="A290" s="4"/>
      <c r="B290" s="3"/>
    </row>
    <row r="291" spans="1:2" x14ac:dyDescent="0.3">
      <c r="A291" s="4"/>
      <c r="B291" s="3"/>
    </row>
    <row r="292" spans="1:2" x14ac:dyDescent="0.3">
      <c r="A292" s="4"/>
      <c r="B292" s="3"/>
    </row>
    <row r="293" spans="1:2" x14ac:dyDescent="0.3">
      <c r="A293" s="4"/>
      <c r="B293" s="3"/>
    </row>
    <row r="294" spans="1:2" x14ac:dyDescent="0.3">
      <c r="A294" s="4"/>
      <c r="B294" s="3"/>
    </row>
    <row r="295" spans="1:2" x14ac:dyDescent="0.3">
      <c r="A295" s="4"/>
      <c r="B295" s="3"/>
    </row>
    <row r="296" spans="1:2" x14ac:dyDescent="0.3">
      <c r="A296" s="4"/>
      <c r="B296" s="3"/>
    </row>
    <row r="297" spans="1:2" x14ac:dyDescent="0.3">
      <c r="A297" s="4"/>
      <c r="B297" s="3"/>
    </row>
    <row r="298" spans="1:2" x14ac:dyDescent="0.3">
      <c r="A298" s="4"/>
      <c r="B298" s="3"/>
    </row>
    <row r="299" spans="1:2" x14ac:dyDescent="0.3">
      <c r="A299" s="4"/>
      <c r="B299" s="3"/>
    </row>
    <row r="300" spans="1:2" x14ac:dyDescent="0.3">
      <c r="A300" s="4"/>
      <c r="B300" s="3"/>
    </row>
    <row r="301" spans="1:2" x14ac:dyDescent="0.3">
      <c r="A301" s="4"/>
      <c r="B301" s="3"/>
    </row>
    <row r="302" spans="1:2" x14ac:dyDescent="0.3">
      <c r="A302" s="4"/>
      <c r="B302" s="3"/>
    </row>
    <row r="303" spans="1:2" x14ac:dyDescent="0.3">
      <c r="A303" s="4"/>
      <c r="B303" s="3"/>
    </row>
    <row r="304" spans="1:2" x14ac:dyDescent="0.3">
      <c r="A304" s="4"/>
      <c r="B304" s="3"/>
    </row>
    <row r="305" spans="1:2" x14ac:dyDescent="0.3">
      <c r="A305" s="4"/>
      <c r="B305" s="3"/>
    </row>
    <row r="306" spans="1:2" x14ac:dyDescent="0.3">
      <c r="A306" s="4"/>
      <c r="B306" s="3"/>
    </row>
    <row r="307" spans="1:2" x14ac:dyDescent="0.3">
      <c r="A307" s="4"/>
      <c r="B307" s="3"/>
    </row>
    <row r="308" spans="1:2" x14ac:dyDescent="0.3">
      <c r="A308" s="4"/>
      <c r="B308" s="3"/>
    </row>
    <row r="309" spans="1:2" x14ac:dyDescent="0.3">
      <c r="A309" s="4"/>
      <c r="B309" s="3"/>
    </row>
    <row r="310" spans="1:2" x14ac:dyDescent="0.3">
      <c r="A310" s="4"/>
      <c r="B310" s="3"/>
    </row>
    <row r="311" spans="1:2" x14ac:dyDescent="0.3">
      <c r="A311" s="4"/>
      <c r="B311" s="3"/>
    </row>
    <row r="312" spans="1:2" x14ac:dyDescent="0.3">
      <c r="A312" s="4"/>
      <c r="B312" s="3"/>
    </row>
    <row r="313" spans="1:2" x14ac:dyDescent="0.3">
      <c r="A313" s="4"/>
      <c r="B313" s="3"/>
    </row>
    <row r="314" spans="1:2" x14ac:dyDescent="0.3">
      <c r="A314" s="4"/>
      <c r="B314" s="3"/>
    </row>
    <row r="315" spans="1:2" x14ac:dyDescent="0.3">
      <c r="A315" s="4"/>
      <c r="B315" s="3"/>
    </row>
    <row r="316" spans="1:2" x14ac:dyDescent="0.3">
      <c r="A316" s="4"/>
      <c r="B316" s="3"/>
    </row>
    <row r="317" spans="1:2" x14ac:dyDescent="0.3">
      <c r="A317" s="4"/>
      <c r="B317" s="3"/>
    </row>
    <row r="318" spans="1:2" x14ac:dyDescent="0.3">
      <c r="A318" s="4"/>
      <c r="B318" s="3"/>
    </row>
    <row r="319" spans="1:2" x14ac:dyDescent="0.3">
      <c r="A319" s="4"/>
      <c r="B319" s="3"/>
    </row>
    <row r="320" spans="1:2" x14ac:dyDescent="0.3">
      <c r="A320" s="4"/>
      <c r="B320" s="3"/>
    </row>
    <row r="321" spans="1:2" x14ac:dyDescent="0.3">
      <c r="A321" s="4"/>
      <c r="B321" s="3"/>
    </row>
    <row r="322" spans="1:2" x14ac:dyDescent="0.3">
      <c r="A322" s="4"/>
      <c r="B322" s="3"/>
    </row>
    <row r="323" spans="1:2" x14ac:dyDescent="0.3">
      <c r="A323" s="4"/>
      <c r="B323" s="3"/>
    </row>
    <row r="324" spans="1:2" x14ac:dyDescent="0.3">
      <c r="A324" s="4"/>
      <c r="B324" s="3"/>
    </row>
    <row r="325" spans="1:2" x14ac:dyDescent="0.3">
      <c r="A325" s="4"/>
      <c r="B325" s="3"/>
    </row>
    <row r="326" spans="1:2" x14ac:dyDescent="0.3">
      <c r="A326" s="4"/>
      <c r="B326" s="3"/>
    </row>
    <row r="327" spans="1:2" x14ac:dyDescent="0.3">
      <c r="A327" s="4"/>
      <c r="B327" s="3"/>
    </row>
    <row r="328" spans="1:2" x14ac:dyDescent="0.3">
      <c r="A328" s="4"/>
      <c r="B328" s="3"/>
    </row>
    <row r="329" spans="1:2" x14ac:dyDescent="0.3">
      <c r="A329" s="4"/>
      <c r="B329" s="3"/>
    </row>
    <row r="330" spans="1:2" x14ac:dyDescent="0.3">
      <c r="A330" s="4"/>
      <c r="B330" s="3"/>
    </row>
    <row r="331" spans="1:2" x14ac:dyDescent="0.3">
      <c r="A331" s="4"/>
      <c r="B331" s="3"/>
    </row>
    <row r="332" spans="1:2" x14ac:dyDescent="0.3">
      <c r="A332" s="4"/>
      <c r="B332" s="3"/>
    </row>
    <row r="333" spans="1:2" x14ac:dyDescent="0.3">
      <c r="A333" s="4"/>
      <c r="B333" s="3"/>
    </row>
    <row r="334" spans="1:2" x14ac:dyDescent="0.3">
      <c r="A334" s="4"/>
      <c r="B334" s="3"/>
    </row>
    <row r="335" spans="1:2" x14ac:dyDescent="0.3">
      <c r="A335" s="4"/>
      <c r="B335" s="3"/>
    </row>
    <row r="336" spans="1:2" x14ac:dyDescent="0.3">
      <c r="A336" s="4"/>
      <c r="B336" s="3"/>
    </row>
    <row r="337" spans="1:2" x14ac:dyDescent="0.3">
      <c r="A337" s="4"/>
      <c r="B337" s="3"/>
    </row>
    <row r="338" spans="1:2" x14ac:dyDescent="0.3">
      <c r="A338" s="4"/>
      <c r="B338" s="3"/>
    </row>
    <row r="339" spans="1:2" x14ac:dyDescent="0.3">
      <c r="A339" s="4"/>
      <c r="B339" s="3"/>
    </row>
    <row r="340" spans="1:2" x14ac:dyDescent="0.3">
      <c r="A340" s="4"/>
      <c r="B340" s="3"/>
    </row>
    <row r="341" spans="1:2" x14ac:dyDescent="0.3">
      <c r="A341" s="4"/>
      <c r="B341" s="3"/>
    </row>
    <row r="342" spans="1:2" x14ac:dyDescent="0.3">
      <c r="A342" s="4"/>
      <c r="B342" s="3"/>
    </row>
    <row r="343" spans="1:2" x14ac:dyDescent="0.3">
      <c r="A343" s="4"/>
      <c r="B343" s="3"/>
    </row>
    <row r="344" spans="1:2" x14ac:dyDescent="0.3">
      <c r="A344" s="4"/>
      <c r="B344" s="3"/>
    </row>
    <row r="345" spans="1:2" x14ac:dyDescent="0.3">
      <c r="A345" s="4"/>
      <c r="B345" s="3"/>
    </row>
    <row r="346" spans="1:2" x14ac:dyDescent="0.3">
      <c r="A346" s="4"/>
      <c r="B346" s="3"/>
    </row>
    <row r="347" spans="1:2" x14ac:dyDescent="0.3">
      <c r="A347" s="4"/>
      <c r="B347" s="3"/>
    </row>
    <row r="348" spans="1:2" x14ac:dyDescent="0.3">
      <c r="A348" s="4"/>
      <c r="B348" s="3"/>
    </row>
    <row r="349" spans="1:2" x14ac:dyDescent="0.3">
      <c r="A349" s="4"/>
      <c r="B349" s="3"/>
    </row>
    <row r="350" spans="1:2" x14ac:dyDescent="0.3">
      <c r="A350" s="4"/>
      <c r="B350" s="3"/>
    </row>
    <row r="351" spans="1:2" x14ac:dyDescent="0.3">
      <c r="A351" s="4"/>
      <c r="B351" s="3"/>
    </row>
    <row r="352" spans="1:2" x14ac:dyDescent="0.3">
      <c r="A352" s="4"/>
      <c r="B352" s="3"/>
    </row>
    <row r="353" spans="1:2" x14ac:dyDescent="0.3">
      <c r="A353" s="4"/>
      <c r="B353" s="3"/>
    </row>
    <row r="354" spans="1:2" x14ac:dyDescent="0.3">
      <c r="A354" s="4"/>
      <c r="B354" s="3"/>
    </row>
    <row r="355" spans="1:2" x14ac:dyDescent="0.3">
      <c r="A355" s="4"/>
      <c r="B355" s="3"/>
    </row>
    <row r="356" spans="1:2" x14ac:dyDescent="0.3">
      <c r="A356" s="4"/>
      <c r="B356" s="3"/>
    </row>
    <row r="357" spans="1:2" x14ac:dyDescent="0.3">
      <c r="A357" s="4"/>
      <c r="B357" s="3"/>
    </row>
    <row r="358" spans="1:2" x14ac:dyDescent="0.3">
      <c r="A358" s="4"/>
      <c r="B358" s="3"/>
    </row>
    <row r="359" spans="1:2" x14ac:dyDescent="0.3">
      <c r="A359" s="4"/>
      <c r="B359" s="3"/>
    </row>
    <row r="360" spans="1:2" x14ac:dyDescent="0.3">
      <c r="A360" s="4"/>
      <c r="B360" s="3"/>
    </row>
    <row r="361" spans="1:2" x14ac:dyDescent="0.3">
      <c r="A361" s="4"/>
      <c r="B361" s="3"/>
    </row>
    <row r="362" spans="1:2" x14ac:dyDescent="0.3">
      <c r="A362" s="4"/>
      <c r="B362" s="3"/>
    </row>
    <row r="363" spans="1:2" x14ac:dyDescent="0.3">
      <c r="A363" s="4"/>
      <c r="B363" s="3"/>
    </row>
    <row r="364" spans="1:2" x14ac:dyDescent="0.3">
      <c r="A364" s="4"/>
      <c r="B364" s="3"/>
    </row>
    <row r="365" spans="1:2" x14ac:dyDescent="0.3">
      <c r="A365" s="4"/>
      <c r="B365" s="3"/>
    </row>
    <row r="366" spans="1:2" x14ac:dyDescent="0.3">
      <c r="A366" s="4"/>
      <c r="B366" s="3"/>
    </row>
    <row r="367" spans="1:2" x14ac:dyDescent="0.3">
      <c r="A367" s="4"/>
      <c r="B367" s="3"/>
    </row>
    <row r="368" spans="1:2" x14ac:dyDescent="0.3">
      <c r="A368" s="4"/>
      <c r="B368" s="3"/>
    </row>
    <row r="369" spans="1:2" x14ac:dyDescent="0.3">
      <c r="A369" s="4"/>
      <c r="B369" s="3"/>
    </row>
    <row r="370" spans="1:2" x14ac:dyDescent="0.3">
      <c r="A370" s="4"/>
      <c r="B370" s="3"/>
    </row>
    <row r="371" spans="1:2" x14ac:dyDescent="0.3">
      <c r="A371" s="4"/>
      <c r="B371" s="3"/>
    </row>
    <row r="372" spans="1:2" x14ac:dyDescent="0.3">
      <c r="A372" s="4"/>
      <c r="B372" s="3"/>
    </row>
    <row r="373" spans="1:2" x14ac:dyDescent="0.3">
      <c r="A373" s="4"/>
      <c r="B373" s="3"/>
    </row>
    <row r="374" spans="1:2" x14ac:dyDescent="0.3">
      <c r="A374" s="4"/>
      <c r="B374" s="3"/>
    </row>
    <row r="375" spans="1:2" x14ac:dyDescent="0.3">
      <c r="A375" s="4"/>
      <c r="B375" s="3"/>
    </row>
    <row r="376" spans="1:2" x14ac:dyDescent="0.3">
      <c r="A376" s="4"/>
      <c r="B376" s="3"/>
    </row>
    <row r="377" spans="1:2" x14ac:dyDescent="0.3">
      <c r="A377" s="4"/>
      <c r="B377" s="3"/>
    </row>
    <row r="378" spans="1:2" x14ac:dyDescent="0.3">
      <c r="A378" s="4"/>
      <c r="B378" s="3"/>
    </row>
    <row r="379" spans="1:2" x14ac:dyDescent="0.3">
      <c r="A379" s="4"/>
      <c r="B379" s="3"/>
    </row>
    <row r="380" spans="1:2" x14ac:dyDescent="0.3">
      <c r="A380" s="4"/>
      <c r="B380" s="3"/>
    </row>
    <row r="381" spans="1:2" x14ac:dyDescent="0.3">
      <c r="A381" s="4"/>
      <c r="B381" s="3"/>
    </row>
    <row r="382" spans="1:2" x14ac:dyDescent="0.3">
      <c r="A382" s="4"/>
      <c r="B382" s="3"/>
    </row>
    <row r="383" spans="1:2" x14ac:dyDescent="0.3">
      <c r="A383" s="4"/>
      <c r="B383" s="3"/>
    </row>
    <row r="384" spans="1:2" x14ac:dyDescent="0.3">
      <c r="A384" s="4"/>
      <c r="B384" s="3"/>
    </row>
    <row r="385" spans="1:2" x14ac:dyDescent="0.3">
      <c r="A385" s="4"/>
      <c r="B385" s="3"/>
    </row>
    <row r="386" spans="1:2" x14ac:dyDescent="0.3">
      <c r="A386" s="4"/>
      <c r="B386" s="3"/>
    </row>
    <row r="387" spans="1:2" x14ac:dyDescent="0.3">
      <c r="A387" s="4"/>
      <c r="B387" s="3"/>
    </row>
    <row r="388" spans="1:2" x14ac:dyDescent="0.3">
      <c r="A388" s="4"/>
      <c r="B388" s="3"/>
    </row>
    <row r="389" spans="1:2" x14ac:dyDescent="0.3">
      <c r="A389" s="4"/>
      <c r="B389" s="3"/>
    </row>
    <row r="390" spans="1:2" x14ac:dyDescent="0.3">
      <c r="A390" s="4"/>
      <c r="B390" s="3"/>
    </row>
    <row r="391" spans="1:2" x14ac:dyDescent="0.3">
      <c r="A391" s="4"/>
      <c r="B391" s="3"/>
    </row>
    <row r="392" spans="1:2" x14ac:dyDescent="0.3">
      <c r="A392" s="4"/>
      <c r="B392" s="3"/>
    </row>
    <row r="393" spans="1:2" x14ac:dyDescent="0.3">
      <c r="A393" s="4"/>
      <c r="B393" s="3"/>
    </row>
    <row r="394" spans="1:2" x14ac:dyDescent="0.3">
      <c r="A394" s="4"/>
      <c r="B394" s="3"/>
    </row>
    <row r="395" spans="1:2" x14ac:dyDescent="0.3">
      <c r="A395" s="4"/>
      <c r="B395" s="3"/>
    </row>
    <row r="396" spans="1:2" x14ac:dyDescent="0.3">
      <c r="A396" s="4"/>
      <c r="B396" s="3"/>
    </row>
    <row r="397" spans="1:2" x14ac:dyDescent="0.3">
      <c r="A397" s="4"/>
      <c r="B397" s="3"/>
    </row>
    <row r="398" spans="1:2" x14ac:dyDescent="0.3">
      <c r="A398" s="4"/>
      <c r="B398" s="3"/>
    </row>
    <row r="399" spans="1:2" x14ac:dyDescent="0.3">
      <c r="A399" s="4"/>
      <c r="B399" s="3"/>
    </row>
    <row r="400" spans="1:2" x14ac:dyDescent="0.3">
      <c r="A400" s="4"/>
      <c r="B400" s="3"/>
    </row>
    <row r="401" spans="1:2" x14ac:dyDescent="0.3">
      <c r="A401" s="4"/>
      <c r="B401" s="3"/>
    </row>
    <row r="402" spans="1:2" x14ac:dyDescent="0.3">
      <c r="A402" s="4"/>
      <c r="B402" s="3"/>
    </row>
    <row r="403" spans="1:2" x14ac:dyDescent="0.3">
      <c r="A403" s="4"/>
      <c r="B403" s="3"/>
    </row>
    <row r="404" spans="1:2" x14ac:dyDescent="0.3">
      <c r="A404" s="4"/>
      <c r="B404" s="3"/>
    </row>
    <row r="405" spans="1:2" x14ac:dyDescent="0.3">
      <c r="A405" s="4"/>
      <c r="B405" s="3"/>
    </row>
    <row r="406" spans="1:2" x14ac:dyDescent="0.3">
      <c r="A406" s="4"/>
      <c r="B406" s="3"/>
    </row>
    <row r="407" spans="1:2" x14ac:dyDescent="0.3">
      <c r="A407" s="4"/>
      <c r="B407" s="3"/>
    </row>
    <row r="408" spans="1:2" x14ac:dyDescent="0.3">
      <c r="A408" s="4"/>
      <c r="B408" s="3"/>
    </row>
    <row r="409" spans="1:2" x14ac:dyDescent="0.3">
      <c r="A409" s="4"/>
      <c r="B409" s="3"/>
    </row>
    <row r="410" spans="1:2" x14ac:dyDescent="0.3">
      <c r="A410" s="4"/>
      <c r="B410" s="3"/>
    </row>
    <row r="411" spans="1:2" x14ac:dyDescent="0.3">
      <c r="A411" s="4"/>
      <c r="B411" s="3"/>
    </row>
    <row r="412" spans="1:2" x14ac:dyDescent="0.3">
      <c r="A412" s="4"/>
      <c r="B412" s="3"/>
    </row>
    <row r="413" spans="1:2" x14ac:dyDescent="0.3">
      <c r="A413" s="4"/>
      <c r="B413" s="3"/>
    </row>
    <row r="414" spans="1:2" x14ac:dyDescent="0.3">
      <c r="A414" s="4"/>
      <c r="B414" s="3"/>
    </row>
    <row r="415" spans="1:2" x14ac:dyDescent="0.3">
      <c r="A415" s="4"/>
      <c r="B415" s="3"/>
    </row>
    <row r="416" spans="1:2" x14ac:dyDescent="0.3">
      <c r="A416" s="4"/>
      <c r="B416" s="3"/>
    </row>
    <row r="417" spans="1:2" x14ac:dyDescent="0.3">
      <c r="A417" s="4"/>
      <c r="B417" s="3"/>
    </row>
    <row r="418" spans="1:2" x14ac:dyDescent="0.3">
      <c r="A418" s="4"/>
      <c r="B418" s="3"/>
    </row>
    <row r="419" spans="1:2" x14ac:dyDescent="0.3">
      <c r="A419" s="4"/>
      <c r="B419" s="3"/>
    </row>
    <row r="420" spans="1:2" x14ac:dyDescent="0.3">
      <c r="A420" s="4"/>
      <c r="B420" s="3"/>
    </row>
    <row r="421" spans="1:2" x14ac:dyDescent="0.3">
      <c r="A421" s="4"/>
      <c r="B421" s="3"/>
    </row>
    <row r="422" spans="1:2" x14ac:dyDescent="0.3">
      <c r="A422" s="4"/>
      <c r="B422" s="3"/>
    </row>
    <row r="423" spans="1:2" x14ac:dyDescent="0.3">
      <c r="A423" s="4"/>
      <c r="B423" s="3"/>
    </row>
    <row r="424" spans="1:2" x14ac:dyDescent="0.3">
      <c r="A424" s="4"/>
      <c r="B424" s="3"/>
    </row>
    <row r="425" spans="1:2" x14ac:dyDescent="0.3">
      <c r="A425" s="4"/>
      <c r="B425" s="3"/>
    </row>
    <row r="426" spans="1:2" x14ac:dyDescent="0.3">
      <c r="A426" s="4"/>
      <c r="B426" s="3"/>
    </row>
    <row r="427" spans="1:2" x14ac:dyDescent="0.3">
      <c r="A427" s="4"/>
      <c r="B427" s="3"/>
    </row>
    <row r="428" spans="1:2" x14ac:dyDescent="0.3">
      <c r="A428" s="4"/>
      <c r="B428" s="3"/>
    </row>
    <row r="429" spans="1:2" x14ac:dyDescent="0.3">
      <c r="A429" s="4"/>
      <c r="B429" s="3"/>
    </row>
    <row r="430" spans="1:2" x14ac:dyDescent="0.3">
      <c r="A430" s="4"/>
      <c r="B430" s="3"/>
    </row>
    <row r="431" spans="1:2" x14ac:dyDescent="0.3">
      <c r="A431" s="4"/>
      <c r="B431" s="3"/>
    </row>
    <row r="432" spans="1:2" x14ac:dyDescent="0.3">
      <c r="A432" s="4"/>
      <c r="B432" s="3"/>
    </row>
    <row r="433" spans="1:2" x14ac:dyDescent="0.3">
      <c r="A433" s="4"/>
      <c r="B433" s="3"/>
    </row>
    <row r="434" spans="1:2" x14ac:dyDescent="0.3">
      <c r="A434" s="4"/>
      <c r="B434" s="3"/>
    </row>
    <row r="435" spans="1:2" x14ac:dyDescent="0.3">
      <c r="A435" s="4"/>
      <c r="B435" s="3"/>
    </row>
    <row r="436" spans="1:2" x14ac:dyDescent="0.3">
      <c r="A436" s="4"/>
      <c r="B436" s="3"/>
    </row>
    <row r="437" spans="1:2" x14ac:dyDescent="0.3">
      <c r="A437" s="4"/>
      <c r="B437" s="3"/>
    </row>
    <row r="438" spans="1:2" x14ac:dyDescent="0.3">
      <c r="A438" s="4"/>
      <c r="B438" s="3"/>
    </row>
    <row r="439" spans="1:2" x14ac:dyDescent="0.3">
      <c r="A439" s="4"/>
      <c r="B439" s="3"/>
    </row>
    <row r="440" spans="1:2" x14ac:dyDescent="0.3">
      <c r="A440" s="4"/>
      <c r="B440" s="3"/>
    </row>
    <row r="441" spans="1:2" x14ac:dyDescent="0.3">
      <c r="A441" s="4"/>
      <c r="B441" s="3"/>
    </row>
    <row r="442" spans="1:2" x14ac:dyDescent="0.3">
      <c r="A442" s="4"/>
      <c r="B442" s="3"/>
    </row>
    <row r="443" spans="1:2" x14ac:dyDescent="0.3">
      <c r="A443" s="4"/>
      <c r="B443" s="3"/>
    </row>
    <row r="444" spans="1:2" x14ac:dyDescent="0.3">
      <c r="A444" s="4"/>
      <c r="B444" s="3"/>
    </row>
    <row r="445" spans="1:2" x14ac:dyDescent="0.3">
      <c r="A445" s="4"/>
      <c r="B445" s="3"/>
    </row>
    <row r="446" spans="1:2" x14ac:dyDescent="0.3">
      <c r="A446" s="4"/>
      <c r="B446" s="3"/>
    </row>
    <row r="447" spans="1:2" x14ac:dyDescent="0.3">
      <c r="A447" s="4"/>
      <c r="B447" s="3"/>
    </row>
    <row r="448" spans="1:2" x14ac:dyDescent="0.3">
      <c r="A448" s="4"/>
      <c r="B448" s="3"/>
    </row>
    <row r="449" spans="1:2" x14ac:dyDescent="0.3">
      <c r="A449" s="4"/>
      <c r="B449" s="3"/>
    </row>
    <row r="450" spans="1:2" x14ac:dyDescent="0.3">
      <c r="A450" s="4"/>
      <c r="B450" s="3"/>
    </row>
    <row r="451" spans="1:2" x14ac:dyDescent="0.3">
      <c r="A451" s="4"/>
      <c r="B451" s="3"/>
    </row>
    <row r="452" spans="1:2" x14ac:dyDescent="0.3">
      <c r="A452" s="4"/>
      <c r="B452" s="3"/>
    </row>
    <row r="453" spans="1:2" x14ac:dyDescent="0.3">
      <c r="A453" s="4"/>
      <c r="B453" s="3"/>
    </row>
    <row r="454" spans="1:2" x14ac:dyDescent="0.3">
      <c r="A454" s="4"/>
      <c r="B454" s="3"/>
    </row>
    <row r="455" spans="1:2" x14ac:dyDescent="0.3">
      <c r="A455" s="4"/>
      <c r="B455" s="3"/>
    </row>
    <row r="456" spans="1:2" x14ac:dyDescent="0.3">
      <c r="A456" s="4"/>
      <c r="B456" s="3"/>
    </row>
    <row r="457" spans="1:2" x14ac:dyDescent="0.3">
      <c r="A457" s="4"/>
      <c r="B457" s="3"/>
    </row>
    <row r="458" spans="1:2" x14ac:dyDescent="0.3">
      <c r="A458" s="4"/>
      <c r="B458" s="3"/>
    </row>
    <row r="459" spans="1:2" x14ac:dyDescent="0.3">
      <c r="A459" s="4"/>
      <c r="B459" s="3"/>
    </row>
    <row r="460" spans="1:2" x14ac:dyDescent="0.3">
      <c r="A460" s="4"/>
      <c r="B460" s="3"/>
    </row>
    <row r="461" spans="1:2" x14ac:dyDescent="0.3">
      <c r="A461" s="4"/>
      <c r="B461" s="3"/>
    </row>
    <row r="462" spans="1:2" x14ac:dyDescent="0.3">
      <c r="A462" s="4"/>
      <c r="B462" s="3"/>
    </row>
    <row r="463" spans="1:2" x14ac:dyDescent="0.3">
      <c r="A463" s="4"/>
      <c r="B463" s="3"/>
    </row>
    <row r="464" spans="1:2" x14ac:dyDescent="0.3">
      <c r="A464" s="4"/>
      <c r="B464" s="3"/>
    </row>
    <row r="465" spans="1:2" x14ac:dyDescent="0.3">
      <c r="A465" s="4"/>
      <c r="B465" s="3"/>
    </row>
    <row r="466" spans="1:2" x14ac:dyDescent="0.3">
      <c r="A466" s="4"/>
      <c r="B466" s="3"/>
    </row>
    <row r="467" spans="1:2" x14ac:dyDescent="0.3">
      <c r="A467" s="4"/>
      <c r="B467" s="3"/>
    </row>
    <row r="468" spans="1:2" x14ac:dyDescent="0.3">
      <c r="A468" s="4"/>
      <c r="B468" s="3"/>
    </row>
    <row r="469" spans="1:2" x14ac:dyDescent="0.3">
      <c r="A469" s="4"/>
      <c r="B469" s="3"/>
    </row>
    <row r="470" spans="1:2" x14ac:dyDescent="0.3">
      <c r="A470" s="4"/>
      <c r="B470" s="3"/>
    </row>
    <row r="471" spans="1:2" x14ac:dyDescent="0.3">
      <c r="A471" s="4"/>
      <c r="B471" s="3"/>
    </row>
    <row r="472" spans="1:2" x14ac:dyDescent="0.3">
      <c r="A472" s="4"/>
      <c r="B472" s="3"/>
    </row>
    <row r="473" spans="1:2" x14ac:dyDescent="0.3">
      <c r="A473" s="4"/>
      <c r="B473" s="3"/>
    </row>
    <row r="474" spans="1:2" x14ac:dyDescent="0.3">
      <c r="A474" s="4"/>
      <c r="B474" s="3"/>
    </row>
    <row r="475" spans="1:2" x14ac:dyDescent="0.3">
      <c r="A475" s="4"/>
      <c r="B475" s="3"/>
    </row>
    <row r="476" spans="1:2" x14ac:dyDescent="0.3">
      <c r="A476" s="4"/>
      <c r="B476" s="3"/>
    </row>
    <row r="477" spans="1:2" x14ac:dyDescent="0.3">
      <c r="A477" s="4"/>
      <c r="B477" s="3"/>
    </row>
    <row r="478" spans="1:2" x14ac:dyDescent="0.3">
      <c r="A478" s="4"/>
      <c r="B478" s="3"/>
    </row>
    <row r="479" spans="1:2" x14ac:dyDescent="0.3">
      <c r="A479" s="4"/>
      <c r="B479" s="3"/>
    </row>
    <row r="480" spans="1:2" x14ac:dyDescent="0.3">
      <c r="A480" s="4"/>
      <c r="B480" s="3"/>
    </row>
    <row r="481" spans="1:2" x14ac:dyDescent="0.3">
      <c r="A481" s="4"/>
      <c r="B481" s="3"/>
    </row>
    <row r="482" spans="1:2" x14ac:dyDescent="0.3">
      <c r="A482" s="4"/>
      <c r="B482" s="3"/>
    </row>
    <row r="483" spans="1:2" x14ac:dyDescent="0.3">
      <c r="A483" s="4"/>
      <c r="B483" s="3"/>
    </row>
    <row r="484" spans="1:2" x14ac:dyDescent="0.3">
      <c r="A484" s="4"/>
      <c r="B484" s="3"/>
    </row>
    <row r="485" spans="1:2" x14ac:dyDescent="0.3">
      <c r="A485" s="4"/>
      <c r="B485" s="3"/>
    </row>
    <row r="486" spans="1:2" x14ac:dyDescent="0.3">
      <c r="A486" s="4"/>
      <c r="B486" s="3"/>
    </row>
    <row r="487" spans="1:2" x14ac:dyDescent="0.3">
      <c r="A487" s="4"/>
      <c r="B487" s="3"/>
    </row>
    <row r="488" spans="1:2" x14ac:dyDescent="0.3">
      <c r="A488" s="4"/>
      <c r="B488" s="3"/>
    </row>
    <row r="489" spans="1:2" x14ac:dyDescent="0.3">
      <c r="A489" s="4"/>
      <c r="B489" s="3"/>
    </row>
    <row r="490" spans="1:2" x14ac:dyDescent="0.3">
      <c r="A490" s="4"/>
      <c r="B490" s="3"/>
    </row>
    <row r="491" spans="1:2" x14ac:dyDescent="0.3">
      <c r="A491" s="4"/>
      <c r="B491" s="3"/>
    </row>
    <row r="492" spans="1:2" x14ac:dyDescent="0.3">
      <c r="A492" s="4"/>
      <c r="B492" s="3"/>
    </row>
    <row r="493" spans="1:2" x14ac:dyDescent="0.3">
      <c r="A493" s="4"/>
      <c r="B493" s="3"/>
    </row>
    <row r="494" spans="1:2" x14ac:dyDescent="0.3">
      <c r="A494" s="4"/>
      <c r="B494" s="3"/>
    </row>
    <row r="495" spans="1:2" x14ac:dyDescent="0.3">
      <c r="A495" s="4"/>
      <c r="B495" s="3"/>
    </row>
    <row r="496" spans="1:2" x14ac:dyDescent="0.3">
      <c r="A496" s="4"/>
      <c r="B496" s="3"/>
    </row>
    <row r="497" spans="1:2" x14ac:dyDescent="0.3">
      <c r="A497" s="4"/>
      <c r="B497" s="3"/>
    </row>
    <row r="498" spans="1:2" x14ac:dyDescent="0.3">
      <c r="A498" s="4"/>
      <c r="B498" s="3"/>
    </row>
    <row r="499" spans="1:2" x14ac:dyDescent="0.3">
      <c r="A499" s="4"/>
      <c r="B499" s="3"/>
    </row>
    <row r="500" spans="1:2" x14ac:dyDescent="0.3">
      <c r="A500" s="4"/>
      <c r="B500" s="3"/>
    </row>
    <row r="501" spans="1:2" x14ac:dyDescent="0.3">
      <c r="A501" s="4"/>
      <c r="B501" s="3"/>
    </row>
    <row r="502" spans="1:2" x14ac:dyDescent="0.3">
      <c r="A502" s="4"/>
      <c r="B502" s="3"/>
    </row>
    <row r="503" spans="1:2" x14ac:dyDescent="0.3">
      <c r="A503" s="4"/>
      <c r="B503" s="3"/>
    </row>
    <row r="504" spans="1:2" x14ac:dyDescent="0.3">
      <c r="A504" s="4"/>
      <c r="B504" s="3"/>
    </row>
    <row r="505" spans="1:2" x14ac:dyDescent="0.3">
      <c r="A505" s="4"/>
      <c r="B505" s="3"/>
    </row>
    <row r="506" spans="1:2" x14ac:dyDescent="0.3">
      <c r="A506" s="4"/>
      <c r="B506" s="3"/>
    </row>
    <row r="507" spans="1:2" x14ac:dyDescent="0.3">
      <c r="A507" s="4"/>
      <c r="B507" s="3"/>
    </row>
    <row r="508" spans="1:2" x14ac:dyDescent="0.3">
      <c r="A508" s="4"/>
      <c r="B508" s="3"/>
    </row>
    <row r="509" spans="1:2" x14ac:dyDescent="0.3">
      <c r="A509" s="4"/>
      <c r="B509" s="3"/>
    </row>
    <row r="510" spans="1:2" x14ac:dyDescent="0.3">
      <c r="A510" s="4"/>
      <c r="B510" s="3"/>
    </row>
    <row r="511" spans="1:2" x14ac:dyDescent="0.3">
      <c r="A511" s="4"/>
      <c r="B511" s="3"/>
    </row>
    <row r="512" spans="1:2" x14ac:dyDescent="0.3">
      <c r="A512" s="4"/>
      <c r="B512" s="3"/>
    </row>
    <row r="513" spans="1:2" x14ac:dyDescent="0.3">
      <c r="A513" s="4"/>
      <c r="B513" s="3"/>
    </row>
    <row r="514" spans="1:2" x14ac:dyDescent="0.3">
      <c r="A514" s="4"/>
      <c r="B514" s="3"/>
    </row>
    <row r="515" spans="1:2" x14ac:dyDescent="0.3">
      <c r="A515" s="4"/>
      <c r="B515" s="3"/>
    </row>
    <row r="516" spans="1:2" x14ac:dyDescent="0.3">
      <c r="A516" s="4"/>
      <c r="B516" s="3"/>
    </row>
    <row r="517" spans="1:2" x14ac:dyDescent="0.3">
      <c r="A517" s="4"/>
      <c r="B517" s="3"/>
    </row>
    <row r="518" spans="1:2" x14ac:dyDescent="0.3">
      <c r="A518" s="4"/>
      <c r="B518" s="3"/>
    </row>
    <row r="519" spans="1:2" x14ac:dyDescent="0.3">
      <c r="A519" s="4"/>
      <c r="B519" s="3"/>
    </row>
    <row r="520" spans="1:2" x14ac:dyDescent="0.3">
      <c r="A520" s="4"/>
      <c r="B520" s="3"/>
    </row>
    <row r="521" spans="1:2" x14ac:dyDescent="0.3">
      <c r="A521" s="4"/>
      <c r="B521" s="3"/>
    </row>
    <row r="522" spans="1:2" x14ac:dyDescent="0.3">
      <c r="A522" s="4"/>
      <c r="B522" s="3"/>
    </row>
    <row r="523" spans="1:2" x14ac:dyDescent="0.3">
      <c r="A523" s="4"/>
      <c r="B523" s="3"/>
    </row>
    <row r="524" spans="1:2" x14ac:dyDescent="0.3">
      <c r="A524" s="4"/>
      <c r="B524" s="3"/>
    </row>
    <row r="525" spans="1:2" x14ac:dyDescent="0.3">
      <c r="A525" s="4"/>
      <c r="B525" s="3"/>
    </row>
    <row r="526" spans="1:2" x14ac:dyDescent="0.3">
      <c r="A526" s="4"/>
      <c r="B526" s="3"/>
    </row>
    <row r="527" spans="1:2" x14ac:dyDescent="0.3">
      <c r="A527" s="4"/>
      <c r="B527" s="3"/>
    </row>
    <row r="528" spans="1:2" x14ac:dyDescent="0.3">
      <c r="A528" s="4"/>
      <c r="B528" s="3"/>
    </row>
    <row r="529" spans="1:2" x14ac:dyDescent="0.3">
      <c r="A529" s="4"/>
      <c r="B529" s="3"/>
    </row>
    <row r="530" spans="1:2" x14ac:dyDescent="0.3">
      <c r="A530" s="4"/>
      <c r="B530" s="3"/>
    </row>
    <row r="531" spans="1:2" x14ac:dyDescent="0.3">
      <c r="A531" s="4"/>
      <c r="B531" s="3"/>
    </row>
    <row r="532" spans="1:2" x14ac:dyDescent="0.3">
      <c r="A532" s="4"/>
      <c r="B532" s="3"/>
    </row>
    <row r="533" spans="1:2" x14ac:dyDescent="0.3">
      <c r="A533" s="4"/>
      <c r="B533" s="3"/>
    </row>
    <row r="534" spans="1:2" x14ac:dyDescent="0.3">
      <c r="A534" s="4"/>
      <c r="B534" s="3"/>
    </row>
    <row r="535" spans="1:2" x14ac:dyDescent="0.3">
      <c r="A535" s="4"/>
      <c r="B535" s="3"/>
    </row>
    <row r="536" spans="1:2" x14ac:dyDescent="0.3">
      <c r="A536" s="4"/>
      <c r="B536" s="3"/>
    </row>
    <row r="537" spans="1:2" x14ac:dyDescent="0.3">
      <c r="A537" s="4"/>
      <c r="B537" s="3"/>
    </row>
    <row r="538" spans="1:2" x14ac:dyDescent="0.3">
      <c r="A538" s="4"/>
      <c r="B538" s="3"/>
    </row>
    <row r="539" spans="1:2" x14ac:dyDescent="0.3">
      <c r="A539" s="4"/>
      <c r="B539" s="3"/>
    </row>
    <row r="540" spans="1:2" x14ac:dyDescent="0.3">
      <c r="A540" s="4"/>
      <c r="B540" s="3"/>
    </row>
    <row r="541" spans="1:2" x14ac:dyDescent="0.3">
      <c r="A541" s="4"/>
      <c r="B541" s="3"/>
    </row>
    <row r="542" spans="1:2" x14ac:dyDescent="0.3">
      <c r="A542" s="4"/>
      <c r="B542" s="3"/>
    </row>
    <row r="543" spans="1:2" x14ac:dyDescent="0.3">
      <c r="A543" s="4"/>
      <c r="B543" s="3"/>
    </row>
    <row r="544" spans="1:2" x14ac:dyDescent="0.3">
      <c r="A544" s="4"/>
      <c r="B544" s="3"/>
    </row>
    <row r="545" spans="1:2" x14ac:dyDescent="0.3">
      <c r="A545" s="4"/>
      <c r="B545" s="3"/>
    </row>
    <row r="546" spans="1:2" x14ac:dyDescent="0.3">
      <c r="A546" s="4"/>
      <c r="B546" s="3"/>
    </row>
    <row r="547" spans="1:2" x14ac:dyDescent="0.3">
      <c r="A547" s="4"/>
      <c r="B547" s="3"/>
    </row>
    <row r="548" spans="1:2" x14ac:dyDescent="0.3">
      <c r="A548" s="4"/>
      <c r="B548" s="3"/>
    </row>
    <row r="549" spans="1:2" x14ac:dyDescent="0.3">
      <c r="A549" s="4"/>
      <c r="B549" s="3"/>
    </row>
    <row r="550" spans="1:2" x14ac:dyDescent="0.3">
      <c r="A550" s="4"/>
      <c r="B550" s="3"/>
    </row>
    <row r="551" spans="1:2" x14ac:dyDescent="0.3">
      <c r="A551" s="4"/>
      <c r="B551" s="3"/>
    </row>
    <row r="552" spans="1:2" x14ac:dyDescent="0.3">
      <c r="A552" s="4"/>
      <c r="B552" s="3"/>
    </row>
    <row r="553" spans="1:2" x14ac:dyDescent="0.3">
      <c r="A553" s="4"/>
      <c r="B553" s="3"/>
    </row>
    <row r="554" spans="1:2" x14ac:dyDescent="0.3">
      <c r="A554" s="4"/>
      <c r="B554" s="3"/>
    </row>
    <row r="555" spans="1:2" x14ac:dyDescent="0.3">
      <c r="A555" s="4"/>
      <c r="B555" s="3"/>
    </row>
    <row r="556" spans="1:2" x14ac:dyDescent="0.3">
      <c r="A556" s="4"/>
      <c r="B556" s="3"/>
    </row>
    <row r="557" spans="1:2" x14ac:dyDescent="0.3">
      <c r="A557" s="4"/>
      <c r="B557" s="3"/>
    </row>
    <row r="558" spans="1:2" x14ac:dyDescent="0.3">
      <c r="A558" s="4"/>
      <c r="B558" s="3"/>
    </row>
    <row r="559" spans="1:2" x14ac:dyDescent="0.3">
      <c r="A559" s="4"/>
      <c r="B559" s="3"/>
    </row>
    <row r="560" spans="1:2" x14ac:dyDescent="0.3">
      <c r="A560" s="4"/>
      <c r="B560" s="3"/>
    </row>
    <row r="561" spans="1:2" x14ac:dyDescent="0.3">
      <c r="A561" s="4"/>
      <c r="B561" s="3"/>
    </row>
    <row r="562" spans="1:2" x14ac:dyDescent="0.3">
      <c r="A562" s="4"/>
      <c r="B562" s="3"/>
    </row>
    <row r="563" spans="1:2" x14ac:dyDescent="0.3">
      <c r="A563" s="4"/>
      <c r="B563" s="3"/>
    </row>
    <row r="564" spans="1:2" x14ac:dyDescent="0.3">
      <c r="A564" s="4"/>
      <c r="B564" s="3"/>
    </row>
    <row r="565" spans="1:2" x14ac:dyDescent="0.3">
      <c r="A565" s="4"/>
      <c r="B565" s="3"/>
    </row>
    <row r="566" spans="1:2" x14ac:dyDescent="0.3">
      <c r="A566" s="4"/>
      <c r="B566" s="3"/>
    </row>
    <row r="567" spans="1:2" x14ac:dyDescent="0.3">
      <c r="A567" s="4"/>
      <c r="B567" s="3"/>
    </row>
    <row r="568" spans="1:2" x14ac:dyDescent="0.3">
      <c r="A568" s="4"/>
      <c r="B568" s="3"/>
    </row>
    <row r="569" spans="1:2" x14ac:dyDescent="0.3">
      <c r="A569" s="4"/>
      <c r="B569" s="3"/>
    </row>
    <row r="570" spans="1:2" x14ac:dyDescent="0.3">
      <c r="A570" s="4"/>
      <c r="B570" s="3"/>
    </row>
    <row r="571" spans="1:2" x14ac:dyDescent="0.3">
      <c r="A571" s="4"/>
      <c r="B571" s="3"/>
    </row>
    <row r="572" spans="1:2" x14ac:dyDescent="0.3">
      <c r="A572" s="4"/>
      <c r="B572" s="3"/>
    </row>
    <row r="573" spans="1:2" x14ac:dyDescent="0.3">
      <c r="A573" s="4"/>
      <c r="B573" s="3"/>
    </row>
    <row r="574" spans="1:2" x14ac:dyDescent="0.3">
      <c r="A574" s="4"/>
      <c r="B574" s="3"/>
    </row>
    <row r="575" spans="1:2" x14ac:dyDescent="0.3">
      <c r="A575" s="4"/>
      <c r="B575" s="3"/>
    </row>
    <row r="576" spans="1:2" x14ac:dyDescent="0.3">
      <c r="A576" s="4"/>
      <c r="B576" s="3"/>
    </row>
    <row r="577" spans="1:2" x14ac:dyDescent="0.3">
      <c r="A577" s="4"/>
      <c r="B577" s="3"/>
    </row>
    <row r="578" spans="1:2" x14ac:dyDescent="0.3">
      <c r="A578" s="4"/>
      <c r="B578" s="3"/>
    </row>
    <row r="579" spans="1:2" x14ac:dyDescent="0.3">
      <c r="A579" s="4"/>
      <c r="B579" s="3"/>
    </row>
    <row r="580" spans="1:2" x14ac:dyDescent="0.3">
      <c r="A580" s="4"/>
      <c r="B580" s="3"/>
    </row>
    <row r="581" spans="1:2" x14ac:dyDescent="0.3">
      <c r="A581" s="4"/>
      <c r="B581" s="3"/>
    </row>
    <row r="582" spans="1:2" x14ac:dyDescent="0.3">
      <c r="A582" s="4"/>
      <c r="B582" s="3"/>
    </row>
    <row r="583" spans="1:2" x14ac:dyDescent="0.3">
      <c r="A583" s="4"/>
      <c r="B583" s="3"/>
    </row>
    <row r="584" spans="1:2" x14ac:dyDescent="0.3">
      <c r="A584" s="4"/>
      <c r="B584" s="3"/>
    </row>
    <row r="585" spans="1:2" x14ac:dyDescent="0.3">
      <c r="A585" s="4"/>
      <c r="B585" s="3"/>
    </row>
    <row r="586" spans="1:2" x14ac:dyDescent="0.3">
      <c r="A586" s="4"/>
      <c r="B586" s="3"/>
    </row>
    <row r="587" spans="1:2" x14ac:dyDescent="0.3">
      <c r="A587" s="4"/>
      <c r="B587" s="3"/>
    </row>
    <row r="588" spans="1:2" x14ac:dyDescent="0.3">
      <c r="A588" s="4"/>
      <c r="B588" s="3"/>
    </row>
    <row r="589" spans="1:2" x14ac:dyDescent="0.3">
      <c r="A589" s="4"/>
      <c r="B589" s="3"/>
    </row>
    <row r="590" spans="1:2" x14ac:dyDescent="0.3">
      <c r="A590" s="4"/>
      <c r="B590" s="3"/>
    </row>
    <row r="591" spans="1:2" x14ac:dyDescent="0.3">
      <c r="A591" s="4"/>
      <c r="B591" s="3"/>
    </row>
    <row r="592" spans="1:2" x14ac:dyDescent="0.3">
      <c r="A592" s="4"/>
      <c r="B592" s="3"/>
    </row>
    <row r="593" spans="1:2" x14ac:dyDescent="0.3">
      <c r="A593" s="4"/>
      <c r="B593" s="3"/>
    </row>
    <row r="594" spans="1:2" x14ac:dyDescent="0.3">
      <c r="A594" s="4"/>
      <c r="B594" s="3"/>
    </row>
    <row r="595" spans="1:2" x14ac:dyDescent="0.3">
      <c r="A595" s="4"/>
      <c r="B595" s="3"/>
    </row>
    <row r="596" spans="1:2" x14ac:dyDescent="0.3">
      <c r="A596" s="4"/>
      <c r="B596" s="3"/>
    </row>
    <row r="597" spans="1:2" x14ac:dyDescent="0.3">
      <c r="A597" s="4"/>
      <c r="B597" s="3"/>
    </row>
    <row r="598" spans="1:2" x14ac:dyDescent="0.3">
      <c r="A598" s="4"/>
      <c r="B598" s="3"/>
    </row>
    <row r="599" spans="1:2" x14ac:dyDescent="0.3">
      <c r="A599" s="4"/>
      <c r="B599" s="3"/>
    </row>
    <row r="600" spans="1:2" x14ac:dyDescent="0.3">
      <c r="A600" s="4"/>
      <c r="B600" s="3"/>
    </row>
    <row r="601" spans="1:2" x14ac:dyDescent="0.3">
      <c r="A601" s="4"/>
      <c r="B601" s="3"/>
    </row>
    <row r="602" spans="1:2" x14ac:dyDescent="0.3">
      <c r="A602" s="4"/>
      <c r="B602" s="3"/>
    </row>
    <row r="603" spans="1:2" x14ac:dyDescent="0.3">
      <c r="A603" s="4"/>
      <c r="B603" s="3"/>
    </row>
    <row r="604" spans="1:2" x14ac:dyDescent="0.3">
      <c r="A604" s="4"/>
      <c r="B604" s="3"/>
    </row>
    <row r="605" spans="1:2" x14ac:dyDescent="0.3">
      <c r="A605" s="4"/>
      <c r="B605" s="3"/>
    </row>
    <row r="606" spans="1:2" x14ac:dyDescent="0.3">
      <c r="A606" s="4"/>
      <c r="B606" s="3"/>
    </row>
    <row r="607" spans="1:2" x14ac:dyDescent="0.3">
      <c r="A607" s="4"/>
      <c r="B607" s="3"/>
    </row>
    <row r="608" spans="1:2" x14ac:dyDescent="0.3">
      <c r="A608" s="4"/>
      <c r="B608" s="3"/>
    </row>
    <row r="609" spans="1:2" x14ac:dyDescent="0.3">
      <c r="A609" s="4"/>
      <c r="B609" s="3"/>
    </row>
    <row r="610" spans="1:2" x14ac:dyDescent="0.3">
      <c r="A610" s="4"/>
      <c r="B610" s="3"/>
    </row>
    <row r="611" spans="1:2" x14ac:dyDescent="0.3">
      <c r="A611" s="4"/>
      <c r="B611" s="3"/>
    </row>
    <row r="612" spans="1:2" x14ac:dyDescent="0.3">
      <c r="A612" s="4"/>
      <c r="B612" s="3"/>
    </row>
    <row r="613" spans="1:2" x14ac:dyDescent="0.3">
      <c r="A613" s="4"/>
      <c r="B613" s="3"/>
    </row>
    <row r="614" spans="1:2" x14ac:dyDescent="0.3">
      <c r="A614" s="4"/>
      <c r="B614" s="3"/>
    </row>
    <row r="615" spans="1:2" x14ac:dyDescent="0.3">
      <c r="A615" s="4"/>
      <c r="B615" s="3"/>
    </row>
    <row r="616" spans="1:2" x14ac:dyDescent="0.3">
      <c r="A616" s="4"/>
      <c r="B616" s="3"/>
    </row>
    <row r="617" spans="1:2" x14ac:dyDescent="0.3">
      <c r="A617" s="4"/>
      <c r="B617" s="3"/>
    </row>
    <row r="618" spans="1:2" x14ac:dyDescent="0.3">
      <c r="A618" s="4"/>
      <c r="B618" s="3"/>
    </row>
    <row r="619" spans="1:2" x14ac:dyDescent="0.3">
      <c r="A619" s="4"/>
      <c r="B619" s="3"/>
    </row>
    <row r="620" spans="1:2" x14ac:dyDescent="0.3">
      <c r="A620" s="4"/>
      <c r="B620" s="3"/>
    </row>
    <row r="621" spans="1:2" x14ac:dyDescent="0.3">
      <c r="A621" s="4"/>
      <c r="B621" s="3"/>
    </row>
    <row r="622" spans="1:2" x14ac:dyDescent="0.3">
      <c r="A622" s="4"/>
      <c r="B622" s="3"/>
    </row>
    <row r="623" spans="1:2" x14ac:dyDescent="0.3">
      <c r="A623" s="4"/>
      <c r="B623" s="3"/>
    </row>
    <row r="624" spans="1:2" x14ac:dyDescent="0.3">
      <c r="A624" s="4"/>
      <c r="B624" s="3"/>
    </row>
    <row r="625" spans="1:2" x14ac:dyDescent="0.3">
      <c r="A625" s="4"/>
      <c r="B625" s="3"/>
    </row>
    <row r="626" spans="1:2" x14ac:dyDescent="0.3">
      <c r="A626" s="4"/>
      <c r="B626" s="3"/>
    </row>
    <row r="627" spans="1:2" x14ac:dyDescent="0.3">
      <c r="A627" s="4"/>
      <c r="B627" s="3"/>
    </row>
    <row r="628" spans="1:2" x14ac:dyDescent="0.3">
      <c r="A628" s="4"/>
      <c r="B628" s="3"/>
    </row>
    <row r="629" spans="1:2" x14ac:dyDescent="0.3">
      <c r="A629" s="4"/>
      <c r="B629" s="3"/>
    </row>
    <row r="630" spans="1:2" x14ac:dyDescent="0.3">
      <c r="A630" s="4"/>
      <c r="B630" s="3"/>
    </row>
    <row r="631" spans="1:2" x14ac:dyDescent="0.3">
      <c r="A631" s="4"/>
      <c r="B631" s="3"/>
    </row>
    <row r="632" spans="1:2" x14ac:dyDescent="0.3">
      <c r="A632" s="4"/>
      <c r="B632" s="3"/>
    </row>
    <row r="633" spans="1:2" x14ac:dyDescent="0.3">
      <c r="A633" s="4"/>
      <c r="B633" s="3"/>
    </row>
    <row r="634" spans="1:2" x14ac:dyDescent="0.3">
      <c r="A634" s="4"/>
      <c r="B634" s="3"/>
    </row>
    <row r="635" spans="1:2" x14ac:dyDescent="0.3">
      <c r="A635" s="4"/>
      <c r="B635" s="3"/>
    </row>
    <row r="636" spans="1:2" x14ac:dyDescent="0.3">
      <c r="A636" s="4"/>
      <c r="B636" s="3"/>
    </row>
    <row r="637" spans="1:2" x14ac:dyDescent="0.3">
      <c r="A637" s="4"/>
      <c r="B637" s="3"/>
    </row>
    <row r="638" spans="1:2" x14ac:dyDescent="0.3">
      <c r="A638" s="4"/>
      <c r="B638" s="3"/>
    </row>
    <row r="639" spans="1:2" x14ac:dyDescent="0.3">
      <c r="A639" s="4"/>
      <c r="B639" s="3"/>
    </row>
    <row r="640" spans="1:2" x14ac:dyDescent="0.3">
      <c r="A640" s="4"/>
      <c r="B640" s="3"/>
    </row>
    <row r="641" spans="1:2" x14ac:dyDescent="0.3">
      <c r="A641" s="4"/>
      <c r="B641" s="3"/>
    </row>
    <row r="642" spans="1:2" x14ac:dyDescent="0.3">
      <c r="A642" s="4"/>
      <c r="B642" s="3"/>
    </row>
    <row r="643" spans="1:2" x14ac:dyDescent="0.3">
      <c r="A643" s="4"/>
      <c r="B643" s="3"/>
    </row>
    <row r="644" spans="1:2" x14ac:dyDescent="0.3">
      <c r="A644" s="4"/>
      <c r="B644" s="3"/>
    </row>
    <row r="645" spans="1:2" x14ac:dyDescent="0.3">
      <c r="A645" s="4"/>
      <c r="B645" s="3"/>
    </row>
    <row r="646" spans="1:2" x14ac:dyDescent="0.3">
      <c r="A646" s="4"/>
      <c r="B646" s="3"/>
    </row>
    <row r="647" spans="1:2" x14ac:dyDescent="0.3">
      <c r="A647" s="4"/>
      <c r="B647" s="3"/>
    </row>
    <row r="648" spans="1:2" x14ac:dyDescent="0.3">
      <c r="A648" s="4"/>
      <c r="B648" s="3"/>
    </row>
    <row r="649" spans="1:2" x14ac:dyDescent="0.3">
      <c r="A649" s="4"/>
      <c r="B649" s="3"/>
    </row>
    <row r="650" spans="1:2" x14ac:dyDescent="0.3">
      <c r="A650" s="4"/>
      <c r="B650" s="3"/>
    </row>
    <row r="651" spans="1:2" x14ac:dyDescent="0.3">
      <c r="A651" s="4"/>
      <c r="B651" s="3"/>
    </row>
    <row r="652" spans="1:2" x14ac:dyDescent="0.3">
      <c r="A652" s="4"/>
      <c r="B652" s="3"/>
    </row>
    <row r="653" spans="1:2" x14ac:dyDescent="0.3">
      <c r="A653" s="4"/>
      <c r="B653" s="3"/>
    </row>
    <row r="654" spans="1:2" x14ac:dyDescent="0.3">
      <c r="A654" s="4"/>
      <c r="B654" s="3"/>
    </row>
    <row r="655" spans="1:2" x14ac:dyDescent="0.3">
      <c r="A655" s="4"/>
      <c r="B655" s="3"/>
    </row>
    <row r="656" spans="1:2" x14ac:dyDescent="0.3">
      <c r="A656" s="4"/>
      <c r="B656" s="3"/>
    </row>
    <row r="657" spans="1:2" x14ac:dyDescent="0.3">
      <c r="A657" s="4"/>
      <c r="B657" s="3"/>
    </row>
    <row r="658" spans="1:2" x14ac:dyDescent="0.3">
      <c r="A658" s="4"/>
      <c r="B658" s="3"/>
    </row>
    <row r="659" spans="1:2" x14ac:dyDescent="0.3">
      <c r="A659" s="4"/>
      <c r="B659" s="3"/>
    </row>
    <row r="660" spans="1:2" x14ac:dyDescent="0.3">
      <c r="A660" s="4"/>
      <c r="B660" s="3"/>
    </row>
    <row r="661" spans="1:2" x14ac:dyDescent="0.3">
      <c r="A661" s="4"/>
      <c r="B661" s="3"/>
    </row>
    <row r="662" spans="1:2" x14ac:dyDescent="0.3">
      <c r="A662" s="4"/>
      <c r="B662" s="3"/>
    </row>
    <row r="663" spans="1:2" x14ac:dyDescent="0.3">
      <c r="A663" s="4"/>
      <c r="B663" s="3"/>
    </row>
    <row r="664" spans="1:2" x14ac:dyDescent="0.3">
      <c r="A664" s="4"/>
      <c r="B664" s="3"/>
    </row>
    <row r="665" spans="1:2" x14ac:dyDescent="0.3">
      <c r="A665" s="4"/>
      <c r="B665" s="3"/>
    </row>
    <row r="666" spans="1:2" x14ac:dyDescent="0.3">
      <c r="A666" s="4"/>
      <c r="B666" s="3"/>
    </row>
    <row r="667" spans="1:2" x14ac:dyDescent="0.3">
      <c r="A667" s="4"/>
      <c r="B667" s="3"/>
    </row>
    <row r="668" spans="1:2" x14ac:dyDescent="0.3">
      <c r="A668" s="4"/>
      <c r="B668" s="3"/>
    </row>
    <row r="669" spans="1:2" x14ac:dyDescent="0.3">
      <c r="A669" s="4"/>
      <c r="B669" s="3"/>
    </row>
    <row r="670" spans="1:2" x14ac:dyDescent="0.3">
      <c r="A670" s="4"/>
      <c r="B670" s="3"/>
    </row>
    <row r="671" spans="1:2" x14ac:dyDescent="0.3">
      <c r="A671" s="4"/>
      <c r="B671" s="3"/>
    </row>
    <row r="672" spans="1:2" x14ac:dyDescent="0.3">
      <c r="A672" s="4"/>
      <c r="B672" s="3"/>
    </row>
    <row r="673" spans="1:2" x14ac:dyDescent="0.3">
      <c r="A673" s="4"/>
      <c r="B673" s="3"/>
    </row>
    <row r="674" spans="1:2" x14ac:dyDescent="0.3">
      <c r="A674" s="4"/>
      <c r="B674" s="3"/>
    </row>
    <row r="675" spans="1:2" x14ac:dyDescent="0.3">
      <c r="A675" s="4"/>
      <c r="B675" s="3"/>
    </row>
    <row r="676" spans="1:2" x14ac:dyDescent="0.3">
      <c r="A676" s="4"/>
      <c r="B676" s="3"/>
    </row>
    <row r="677" spans="1:2" x14ac:dyDescent="0.3">
      <c r="A677" s="4"/>
      <c r="B677" s="3"/>
    </row>
    <row r="678" spans="1:2" x14ac:dyDescent="0.3">
      <c r="A678" s="4"/>
      <c r="B678" s="3"/>
    </row>
    <row r="679" spans="1:2" x14ac:dyDescent="0.3">
      <c r="A679" s="4"/>
      <c r="B679" s="3"/>
    </row>
    <row r="680" spans="1:2" x14ac:dyDescent="0.3">
      <c r="A680" s="4"/>
      <c r="B680" s="3"/>
    </row>
    <row r="681" spans="1:2" x14ac:dyDescent="0.3">
      <c r="A681" s="4"/>
      <c r="B681" s="3"/>
    </row>
    <row r="682" spans="1:2" x14ac:dyDescent="0.3">
      <c r="A682" s="4"/>
      <c r="B682" s="3"/>
    </row>
    <row r="683" spans="1:2" x14ac:dyDescent="0.3">
      <c r="A683" s="4"/>
      <c r="B683" s="3"/>
    </row>
    <row r="684" spans="1:2" x14ac:dyDescent="0.3">
      <c r="A684" s="4"/>
      <c r="B684" s="3"/>
    </row>
    <row r="685" spans="1:2" x14ac:dyDescent="0.3">
      <c r="A685" s="4"/>
      <c r="B685" s="3"/>
    </row>
    <row r="686" spans="1:2" x14ac:dyDescent="0.3">
      <c r="A686" s="4"/>
      <c r="B686" s="3"/>
    </row>
    <row r="687" spans="1:2" x14ac:dyDescent="0.3">
      <c r="A687" s="4"/>
      <c r="B687" s="3"/>
    </row>
    <row r="688" spans="1:2" x14ac:dyDescent="0.3">
      <c r="A688" s="4"/>
      <c r="B688" s="3"/>
    </row>
    <row r="689" spans="1:2" x14ac:dyDescent="0.3">
      <c r="A689" s="4"/>
      <c r="B689" s="3"/>
    </row>
    <row r="690" spans="1:2" x14ac:dyDescent="0.3">
      <c r="A690" s="4"/>
      <c r="B690" s="3"/>
    </row>
    <row r="691" spans="1:2" x14ac:dyDescent="0.3">
      <c r="A691" s="4"/>
      <c r="B691" s="3"/>
    </row>
    <row r="692" spans="1:2" x14ac:dyDescent="0.3">
      <c r="A692" s="4"/>
      <c r="B692" s="3"/>
    </row>
    <row r="693" spans="1:2" x14ac:dyDescent="0.3">
      <c r="A693" s="4"/>
      <c r="B693" s="3"/>
    </row>
    <row r="694" spans="1:2" x14ac:dyDescent="0.3">
      <c r="A694" s="4"/>
      <c r="B694" s="3"/>
    </row>
    <row r="695" spans="1:2" x14ac:dyDescent="0.3">
      <c r="A695" s="4"/>
      <c r="B695" s="3"/>
    </row>
    <row r="696" spans="1:2" x14ac:dyDescent="0.3">
      <c r="A696" s="4"/>
      <c r="B696" s="3"/>
    </row>
    <row r="697" spans="1:2" x14ac:dyDescent="0.3">
      <c r="A697" s="4"/>
      <c r="B697" s="3"/>
    </row>
    <row r="698" spans="1:2" x14ac:dyDescent="0.3">
      <c r="A698" s="4"/>
      <c r="B698" s="3"/>
    </row>
    <row r="699" spans="1:2" x14ac:dyDescent="0.3">
      <c r="A699" s="4"/>
      <c r="B699" s="3"/>
    </row>
    <row r="700" spans="1:2" x14ac:dyDescent="0.3">
      <c r="A700" s="4"/>
      <c r="B700" s="3"/>
    </row>
    <row r="701" spans="1:2" x14ac:dyDescent="0.3">
      <c r="A701" s="4"/>
      <c r="B701" s="3"/>
    </row>
    <row r="702" spans="1:2" x14ac:dyDescent="0.3">
      <c r="A702" s="4"/>
      <c r="B702" s="3"/>
    </row>
    <row r="703" spans="1:2" x14ac:dyDescent="0.3">
      <c r="A703" s="4"/>
      <c r="B703" s="3"/>
    </row>
    <row r="704" spans="1:2" x14ac:dyDescent="0.3">
      <c r="A704" s="4"/>
      <c r="B704" s="3"/>
    </row>
    <row r="705" spans="1:2" x14ac:dyDescent="0.3">
      <c r="A705" s="4"/>
      <c r="B705" s="3"/>
    </row>
    <row r="706" spans="1:2" x14ac:dyDescent="0.3">
      <c r="A706" s="4"/>
      <c r="B706" s="3"/>
    </row>
    <row r="707" spans="1:2" x14ac:dyDescent="0.3">
      <c r="A707" s="4"/>
      <c r="B707" s="3"/>
    </row>
    <row r="708" spans="1:2" x14ac:dyDescent="0.3">
      <c r="A708" s="4"/>
      <c r="B708" s="3"/>
    </row>
    <row r="709" spans="1:2" x14ac:dyDescent="0.3">
      <c r="A709" s="4"/>
      <c r="B709" s="3"/>
    </row>
    <row r="710" spans="1:2" x14ac:dyDescent="0.3">
      <c r="A710" s="4"/>
      <c r="B710" s="3"/>
    </row>
    <row r="711" spans="1:2" x14ac:dyDescent="0.3">
      <c r="A711" s="4"/>
      <c r="B711" s="3"/>
    </row>
    <row r="712" spans="1:2" x14ac:dyDescent="0.3">
      <c r="A712" s="4"/>
      <c r="B712" s="3"/>
    </row>
    <row r="713" spans="1:2" x14ac:dyDescent="0.3">
      <c r="A713" s="4"/>
      <c r="B713" s="3"/>
    </row>
    <row r="714" spans="1:2" x14ac:dyDescent="0.3">
      <c r="A714" s="4"/>
      <c r="B714" s="3"/>
    </row>
    <row r="715" spans="1:2" x14ac:dyDescent="0.3">
      <c r="A715" s="4"/>
      <c r="B715" s="3"/>
    </row>
    <row r="716" spans="1:2" x14ac:dyDescent="0.3">
      <c r="A716" s="4"/>
      <c r="B716" s="3"/>
    </row>
    <row r="717" spans="1:2" x14ac:dyDescent="0.3">
      <c r="A717" s="4"/>
      <c r="B717" s="3"/>
    </row>
    <row r="718" spans="1:2" x14ac:dyDescent="0.3">
      <c r="A718" s="4"/>
      <c r="B718" s="3"/>
    </row>
    <row r="719" spans="1:2" x14ac:dyDescent="0.3">
      <c r="A719" s="4"/>
      <c r="B719" s="3"/>
    </row>
    <row r="720" spans="1:2" x14ac:dyDescent="0.3">
      <c r="A720" s="4"/>
      <c r="B720" s="3"/>
    </row>
    <row r="721" spans="1:2" x14ac:dyDescent="0.3">
      <c r="A721" s="4"/>
      <c r="B721" s="3"/>
    </row>
    <row r="722" spans="1:2" x14ac:dyDescent="0.3">
      <c r="A722" s="4"/>
      <c r="B722" s="3"/>
    </row>
    <row r="723" spans="1:2" x14ac:dyDescent="0.3">
      <c r="A723" s="4"/>
      <c r="B723" s="3"/>
    </row>
    <row r="724" spans="1:2" x14ac:dyDescent="0.3">
      <c r="A724" s="4"/>
      <c r="B724" s="3"/>
    </row>
    <row r="725" spans="1:2" x14ac:dyDescent="0.3">
      <c r="A725" s="4"/>
      <c r="B725" s="3"/>
    </row>
    <row r="726" spans="1:2" x14ac:dyDescent="0.3">
      <c r="A726" s="4"/>
      <c r="B726" s="3"/>
    </row>
    <row r="727" spans="1:2" x14ac:dyDescent="0.3">
      <c r="A727" s="4"/>
      <c r="B727" s="3"/>
    </row>
    <row r="728" spans="1:2" x14ac:dyDescent="0.3">
      <c r="A728" s="4"/>
      <c r="B728" s="3"/>
    </row>
    <row r="729" spans="1:2" x14ac:dyDescent="0.3">
      <c r="A729" s="4"/>
      <c r="B729" s="3"/>
    </row>
    <row r="730" spans="1:2" x14ac:dyDescent="0.3">
      <c r="A730" s="4"/>
      <c r="B730" s="3"/>
    </row>
    <row r="731" spans="1:2" x14ac:dyDescent="0.3">
      <c r="A731" s="4"/>
      <c r="B731" s="3"/>
    </row>
    <row r="732" spans="1:2" x14ac:dyDescent="0.3">
      <c r="A732" s="4"/>
      <c r="B732" s="3"/>
    </row>
    <row r="733" spans="1:2" x14ac:dyDescent="0.3">
      <c r="A733" s="4"/>
      <c r="B733" s="3"/>
    </row>
    <row r="734" spans="1:2" x14ac:dyDescent="0.3">
      <c r="A734" s="4"/>
      <c r="B734" s="3"/>
    </row>
    <row r="735" spans="1:2" x14ac:dyDescent="0.3">
      <c r="A735" s="4"/>
      <c r="B735" s="3"/>
    </row>
    <row r="736" spans="1:2" x14ac:dyDescent="0.3">
      <c r="A736" s="4"/>
      <c r="B736" s="3"/>
    </row>
    <row r="737" spans="1:2" x14ac:dyDescent="0.3">
      <c r="A737" s="4"/>
      <c r="B737" s="3"/>
    </row>
    <row r="738" spans="1:2" x14ac:dyDescent="0.3">
      <c r="A738" s="4"/>
      <c r="B738" s="3"/>
    </row>
    <row r="739" spans="1:2" x14ac:dyDescent="0.3">
      <c r="A739" s="4"/>
      <c r="B739" s="3"/>
    </row>
    <row r="740" spans="1:2" x14ac:dyDescent="0.3">
      <c r="A740" s="4"/>
      <c r="B740" s="3"/>
    </row>
    <row r="741" spans="1:2" x14ac:dyDescent="0.3">
      <c r="A741" s="4"/>
      <c r="B741" s="3"/>
    </row>
    <row r="742" spans="1:2" x14ac:dyDescent="0.3">
      <c r="A742" s="4"/>
      <c r="B742" s="3"/>
    </row>
    <row r="743" spans="1:2" x14ac:dyDescent="0.3">
      <c r="A743" s="4"/>
      <c r="B743" s="3"/>
    </row>
    <row r="744" spans="1:2" x14ac:dyDescent="0.3">
      <c r="A744" s="4"/>
      <c r="B744" s="3"/>
    </row>
    <row r="745" spans="1:2" x14ac:dyDescent="0.3">
      <c r="A745" s="4"/>
      <c r="B745" s="3"/>
    </row>
    <row r="746" spans="1:2" x14ac:dyDescent="0.3">
      <c r="A746" s="4"/>
      <c r="B746" s="3"/>
    </row>
    <row r="747" spans="1:2" x14ac:dyDescent="0.3">
      <c r="A747" s="4"/>
      <c r="B747" s="3"/>
    </row>
    <row r="748" spans="1:2" x14ac:dyDescent="0.3">
      <c r="A748" s="4"/>
      <c r="B748" s="3"/>
    </row>
    <row r="749" spans="1:2" x14ac:dyDescent="0.3">
      <c r="A749" s="4"/>
      <c r="B749" s="3"/>
    </row>
    <row r="750" spans="1:2" x14ac:dyDescent="0.3">
      <c r="A750" s="4"/>
      <c r="B750" s="3"/>
    </row>
    <row r="751" spans="1:2" x14ac:dyDescent="0.3">
      <c r="A751" s="4"/>
      <c r="B751" s="3"/>
    </row>
    <row r="752" spans="1:2" x14ac:dyDescent="0.3">
      <c r="A752" s="4"/>
      <c r="B752" s="3"/>
    </row>
    <row r="753" spans="1:2" x14ac:dyDescent="0.3">
      <c r="A753" s="4"/>
      <c r="B753" s="3"/>
    </row>
    <row r="754" spans="1:2" x14ac:dyDescent="0.3">
      <c r="A754" s="4"/>
      <c r="B754" s="3"/>
    </row>
    <row r="755" spans="1:2" x14ac:dyDescent="0.3">
      <c r="A755" s="4"/>
      <c r="B755" s="3"/>
    </row>
    <row r="756" spans="1:2" x14ac:dyDescent="0.3">
      <c r="A756" s="4"/>
      <c r="B756" s="3"/>
    </row>
    <row r="757" spans="1:2" x14ac:dyDescent="0.3">
      <c r="A757" s="4"/>
      <c r="B757" s="3"/>
    </row>
    <row r="758" spans="1:2" x14ac:dyDescent="0.3">
      <c r="A758" s="4"/>
      <c r="B758" s="3"/>
    </row>
    <row r="759" spans="1:2" x14ac:dyDescent="0.3">
      <c r="A759" s="4"/>
      <c r="B759" s="3"/>
    </row>
    <row r="760" spans="1:2" x14ac:dyDescent="0.3">
      <c r="A760" s="4"/>
      <c r="B760" s="3"/>
    </row>
    <row r="761" spans="1:2" x14ac:dyDescent="0.3">
      <c r="A761" s="4"/>
      <c r="B761" s="3"/>
    </row>
    <row r="762" spans="1:2" x14ac:dyDescent="0.3">
      <c r="A762" s="4"/>
      <c r="B762" s="3"/>
    </row>
    <row r="763" spans="1:2" x14ac:dyDescent="0.3">
      <c r="A763" s="4"/>
      <c r="B763" s="3"/>
    </row>
    <row r="764" spans="1:2" x14ac:dyDescent="0.3">
      <c r="A764" s="4"/>
      <c r="B764" s="3"/>
    </row>
    <row r="765" spans="1:2" x14ac:dyDescent="0.3">
      <c r="A765" s="4"/>
      <c r="B765" s="3"/>
    </row>
    <row r="766" spans="1:2" x14ac:dyDescent="0.3">
      <c r="A766" s="4"/>
      <c r="B766" s="3"/>
    </row>
    <row r="767" spans="1:2" x14ac:dyDescent="0.3">
      <c r="A767" s="4"/>
      <c r="B767" s="3"/>
    </row>
    <row r="768" spans="1:2" x14ac:dyDescent="0.3">
      <c r="A768" s="4"/>
      <c r="B768" s="3"/>
    </row>
    <row r="769" spans="1:2" x14ac:dyDescent="0.3">
      <c r="A769" s="4"/>
      <c r="B769" s="3"/>
    </row>
    <row r="770" spans="1:2" x14ac:dyDescent="0.3">
      <c r="A770" s="4"/>
      <c r="B770" s="3"/>
    </row>
    <row r="771" spans="1:2" x14ac:dyDescent="0.3">
      <c r="A771" s="4"/>
      <c r="B771" s="3"/>
    </row>
    <row r="772" spans="1:2" x14ac:dyDescent="0.3">
      <c r="A772" s="4"/>
      <c r="B772" s="3"/>
    </row>
    <row r="773" spans="1:2" x14ac:dyDescent="0.3">
      <c r="A773" s="4"/>
      <c r="B773" s="3"/>
    </row>
    <row r="774" spans="1:2" x14ac:dyDescent="0.3">
      <c r="A774" s="4"/>
      <c r="B774" s="3"/>
    </row>
    <row r="775" spans="1:2" x14ac:dyDescent="0.3">
      <c r="A775" s="4"/>
      <c r="B775" s="3"/>
    </row>
    <row r="776" spans="1:2" x14ac:dyDescent="0.3">
      <c r="A776" s="4"/>
      <c r="B776" s="3"/>
    </row>
    <row r="777" spans="1:2" x14ac:dyDescent="0.3">
      <c r="A777" s="4"/>
      <c r="B777" s="3"/>
    </row>
    <row r="778" spans="1:2" x14ac:dyDescent="0.3">
      <c r="A778" s="4"/>
      <c r="B778" s="3"/>
    </row>
    <row r="779" spans="1:2" x14ac:dyDescent="0.3">
      <c r="A779" s="4"/>
      <c r="B779" s="3"/>
    </row>
    <row r="780" spans="1:2" x14ac:dyDescent="0.3">
      <c r="A780" s="4"/>
      <c r="B780" s="3"/>
    </row>
    <row r="781" spans="1:2" x14ac:dyDescent="0.3">
      <c r="A781" s="4"/>
      <c r="B781" s="3"/>
    </row>
    <row r="782" spans="1:2" x14ac:dyDescent="0.3">
      <c r="A782" s="4"/>
      <c r="B782" s="3"/>
    </row>
    <row r="783" spans="1:2" x14ac:dyDescent="0.3">
      <c r="A783" s="4"/>
      <c r="B783" s="3"/>
    </row>
    <row r="784" spans="1:2" x14ac:dyDescent="0.3">
      <c r="A784" s="4"/>
      <c r="B784" s="3"/>
    </row>
    <row r="785" spans="1:2" x14ac:dyDescent="0.3">
      <c r="A785" s="4"/>
      <c r="B785" s="3"/>
    </row>
    <row r="786" spans="1:2" x14ac:dyDescent="0.3">
      <c r="A786" s="4"/>
      <c r="B786" s="3"/>
    </row>
    <row r="787" spans="1:2" x14ac:dyDescent="0.3">
      <c r="A787" s="4"/>
      <c r="B787" s="3"/>
    </row>
    <row r="788" spans="1:2" x14ac:dyDescent="0.3">
      <c r="A788" s="4"/>
      <c r="B788" s="3"/>
    </row>
    <row r="789" spans="1:2" x14ac:dyDescent="0.3">
      <c r="A789" s="4"/>
      <c r="B789" s="3"/>
    </row>
    <row r="790" spans="1:2" x14ac:dyDescent="0.3">
      <c r="A790" s="4"/>
      <c r="B790" s="3"/>
    </row>
    <row r="791" spans="1:2" x14ac:dyDescent="0.3">
      <c r="A791" s="4"/>
      <c r="B791" s="3"/>
    </row>
    <row r="792" spans="1:2" x14ac:dyDescent="0.3">
      <c r="A792" s="4"/>
      <c r="B792" s="3"/>
    </row>
    <row r="793" spans="1:2" x14ac:dyDescent="0.3">
      <c r="A793" s="4"/>
      <c r="B793" s="3"/>
    </row>
    <row r="794" spans="1:2" x14ac:dyDescent="0.3">
      <c r="A794" s="4"/>
      <c r="B794" s="3"/>
    </row>
    <row r="795" spans="1:2" x14ac:dyDescent="0.3">
      <c r="A795" s="4"/>
      <c r="B795" s="3"/>
    </row>
    <row r="796" spans="1:2" x14ac:dyDescent="0.3">
      <c r="A796" s="4"/>
      <c r="B796" s="3"/>
    </row>
    <row r="797" spans="1:2" x14ac:dyDescent="0.3">
      <c r="A797" s="4"/>
      <c r="B797" s="3"/>
    </row>
    <row r="798" spans="1:2" x14ac:dyDescent="0.3">
      <c r="A798" s="4"/>
      <c r="B798" s="3"/>
    </row>
    <row r="799" spans="1:2" x14ac:dyDescent="0.3">
      <c r="A799" s="4"/>
      <c r="B799" s="3"/>
    </row>
    <row r="800" spans="1:2" x14ac:dyDescent="0.3">
      <c r="A800" s="4"/>
      <c r="B800" s="3"/>
    </row>
    <row r="801" spans="1:2" x14ac:dyDescent="0.3">
      <c r="A801" s="4"/>
      <c r="B801" s="3"/>
    </row>
    <row r="802" spans="1:2" x14ac:dyDescent="0.3">
      <c r="A802" s="4"/>
      <c r="B802" s="3"/>
    </row>
    <row r="803" spans="1:2" x14ac:dyDescent="0.3">
      <c r="A803" s="4"/>
      <c r="B803" s="3"/>
    </row>
    <row r="804" spans="1:2" x14ac:dyDescent="0.3">
      <c r="A804" s="4"/>
      <c r="B804" s="3"/>
    </row>
    <row r="805" spans="1:2" x14ac:dyDescent="0.3">
      <c r="A805" s="4"/>
      <c r="B805" s="3"/>
    </row>
    <row r="806" spans="1:2" x14ac:dyDescent="0.3">
      <c r="A806" s="4"/>
      <c r="B806" s="3"/>
    </row>
    <row r="807" spans="1:2" x14ac:dyDescent="0.3">
      <c r="A807" s="4"/>
      <c r="B807" s="3"/>
    </row>
    <row r="808" spans="1:2" x14ac:dyDescent="0.3">
      <c r="A808" s="4"/>
      <c r="B808" s="3"/>
    </row>
    <row r="809" spans="1:2" x14ac:dyDescent="0.3">
      <c r="A809" s="4"/>
      <c r="B809" s="3"/>
    </row>
    <row r="810" spans="1:2" x14ac:dyDescent="0.3">
      <c r="A810" s="4"/>
      <c r="B810" s="3"/>
    </row>
    <row r="811" spans="1:2" x14ac:dyDescent="0.3">
      <c r="A811" s="4"/>
      <c r="B811" s="3"/>
    </row>
    <row r="812" spans="1:2" x14ac:dyDescent="0.3">
      <c r="A812" s="4"/>
      <c r="B812" s="3"/>
    </row>
    <row r="813" spans="1:2" x14ac:dyDescent="0.3">
      <c r="A813" s="4"/>
      <c r="B813" s="3"/>
    </row>
    <row r="814" spans="1:2" x14ac:dyDescent="0.3">
      <c r="A814" s="4"/>
      <c r="B814" s="3"/>
    </row>
    <row r="815" spans="1:2" x14ac:dyDescent="0.3">
      <c r="A815" s="4"/>
      <c r="B815" s="3"/>
    </row>
    <row r="816" spans="1:2" x14ac:dyDescent="0.3">
      <c r="A816" s="4"/>
      <c r="B816" s="3"/>
    </row>
    <row r="817" spans="1:2" x14ac:dyDescent="0.3">
      <c r="A817" s="4"/>
      <c r="B817" s="3"/>
    </row>
    <row r="818" spans="1:2" x14ac:dyDescent="0.3">
      <c r="A818" s="4"/>
      <c r="B818" s="3"/>
    </row>
    <row r="819" spans="1:2" x14ac:dyDescent="0.3">
      <c r="A819" s="4"/>
      <c r="B819" s="3"/>
    </row>
    <row r="820" spans="1:2" x14ac:dyDescent="0.3">
      <c r="A820" s="4"/>
      <c r="B820" s="3"/>
    </row>
    <row r="821" spans="1:2" x14ac:dyDescent="0.3">
      <c r="A821" s="4"/>
      <c r="B821" s="3"/>
    </row>
    <row r="822" spans="1:2" x14ac:dyDescent="0.3">
      <c r="A822" s="4"/>
      <c r="B822" s="3"/>
    </row>
    <row r="823" spans="1:2" x14ac:dyDescent="0.3">
      <c r="A823" s="4"/>
      <c r="B823" s="3"/>
    </row>
    <row r="824" spans="1:2" x14ac:dyDescent="0.3">
      <c r="A824" s="4"/>
      <c r="B824" s="3"/>
    </row>
    <row r="825" spans="1:2" x14ac:dyDescent="0.3">
      <c r="A825" s="4"/>
      <c r="B825" s="3"/>
    </row>
    <row r="826" spans="1:2" x14ac:dyDescent="0.3">
      <c r="A826" s="4"/>
      <c r="B826" s="3"/>
    </row>
    <row r="827" spans="1:2" x14ac:dyDescent="0.3">
      <c r="A827" s="4"/>
      <c r="B827" s="3"/>
    </row>
    <row r="828" spans="1:2" x14ac:dyDescent="0.3">
      <c r="A828" s="4"/>
      <c r="B828" s="3"/>
    </row>
    <row r="829" spans="1:2" x14ac:dyDescent="0.3">
      <c r="A829" s="4"/>
      <c r="B829" s="3"/>
    </row>
    <row r="830" spans="1:2" x14ac:dyDescent="0.3">
      <c r="A830" s="4"/>
      <c r="B830" s="3"/>
    </row>
    <row r="831" spans="1:2" x14ac:dyDescent="0.3">
      <c r="A831" s="4"/>
      <c r="B831" s="3"/>
    </row>
    <row r="832" spans="1:2" x14ac:dyDescent="0.3">
      <c r="A832" s="4"/>
      <c r="B832" s="3"/>
    </row>
    <row r="833" spans="1:2" x14ac:dyDescent="0.3">
      <c r="A833" s="4"/>
      <c r="B833" s="3"/>
    </row>
    <row r="834" spans="1:2" x14ac:dyDescent="0.3">
      <c r="A834" s="4"/>
      <c r="B834" s="3"/>
    </row>
    <row r="835" spans="1:2" x14ac:dyDescent="0.3">
      <c r="A835" s="4"/>
      <c r="B835" s="3"/>
    </row>
    <row r="836" spans="1:2" x14ac:dyDescent="0.3">
      <c r="A836" s="4"/>
      <c r="B836" s="3"/>
    </row>
    <row r="837" spans="1:2" x14ac:dyDescent="0.3">
      <c r="A837" s="4"/>
      <c r="B837" s="3"/>
    </row>
    <row r="838" spans="1:2" x14ac:dyDescent="0.3">
      <c r="A838" s="4"/>
      <c r="B838" s="3"/>
    </row>
    <row r="839" spans="1:2" x14ac:dyDescent="0.3">
      <c r="A839" s="4"/>
      <c r="B839" s="3"/>
    </row>
    <row r="840" spans="1:2" x14ac:dyDescent="0.3">
      <c r="A840" s="4"/>
      <c r="B840" s="3"/>
    </row>
    <row r="841" spans="1:2" x14ac:dyDescent="0.3">
      <c r="A841" s="4"/>
      <c r="B841" s="3"/>
    </row>
    <row r="842" spans="1:2" x14ac:dyDescent="0.3">
      <c r="A842" s="4"/>
      <c r="B842" s="3"/>
    </row>
    <row r="843" spans="1:2" x14ac:dyDescent="0.3">
      <c r="A843" s="4"/>
      <c r="B843" s="3"/>
    </row>
    <row r="844" spans="1:2" x14ac:dyDescent="0.3">
      <c r="A844" s="4"/>
      <c r="B844" s="3"/>
    </row>
    <row r="845" spans="1:2" x14ac:dyDescent="0.3">
      <c r="A845" s="4"/>
      <c r="B845" s="3"/>
    </row>
    <row r="846" spans="1:2" x14ac:dyDescent="0.3">
      <c r="A846" s="4"/>
      <c r="B846" s="3"/>
    </row>
    <row r="847" spans="1:2" x14ac:dyDescent="0.3">
      <c r="A847" s="4"/>
      <c r="B847" s="3"/>
    </row>
    <row r="848" spans="1:2" x14ac:dyDescent="0.3">
      <c r="A848" s="4"/>
      <c r="B848" s="3"/>
    </row>
    <row r="849" spans="1:2" x14ac:dyDescent="0.3">
      <c r="A849" s="4"/>
      <c r="B849" s="3"/>
    </row>
    <row r="850" spans="1:2" x14ac:dyDescent="0.3">
      <c r="A850" s="4"/>
      <c r="B850" s="3"/>
    </row>
    <row r="851" spans="1:2" x14ac:dyDescent="0.3">
      <c r="A851" s="4"/>
      <c r="B851" s="3"/>
    </row>
    <row r="852" spans="1:2" x14ac:dyDescent="0.3">
      <c r="A852" s="4"/>
      <c r="B852" s="3"/>
    </row>
    <row r="853" spans="1:2" x14ac:dyDescent="0.3">
      <c r="A853" s="4"/>
      <c r="B853" s="3"/>
    </row>
    <row r="854" spans="1:2" x14ac:dyDescent="0.3">
      <c r="A854" s="4"/>
      <c r="B854" s="3"/>
    </row>
    <row r="855" spans="1:2" x14ac:dyDescent="0.3">
      <c r="A855" s="4"/>
      <c r="B855" s="3"/>
    </row>
    <row r="856" spans="1:2" x14ac:dyDescent="0.3">
      <c r="A856" s="4"/>
      <c r="B856" s="3"/>
    </row>
    <row r="857" spans="1:2" x14ac:dyDescent="0.3">
      <c r="A857" s="4"/>
      <c r="B857" s="3"/>
    </row>
    <row r="858" spans="1:2" x14ac:dyDescent="0.3">
      <c r="A858" s="4"/>
      <c r="B858" s="3"/>
    </row>
    <row r="859" spans="1:2" x14ac:dyDescent="0.3">
      <c r="A859" s="4"/>
      <c r="B859" s="3"/>
    </row>
    <row r="860" spans="1:2" x14ac:dyDescent="0.3">
      <c r="A860" s="4"/>
      <c r="B860" s="3"/>
    </row>
    <row r="861" spans="1:2" x14ac:dyDescent="0.3">
      <c r="A861" s="4"/>
      <c r="B861" s="3"/>
    </row>
    <row r="862" spans="1:2" x14ac:dyDescent="0.3">
      <c r="A862" s="4"/>
      <c r="B862" s="3"/>
    </row>
    <row r="863" spans="1:2" x14ac:dyDescent="0.3">
      <c r="A863" s="4"/>
      <c r="B863" s="3"/>
    </row>
    <row r="864" spans="1:2" x14ac:dyDescent="0.3">
      <c r="A864" s="4"/>
      <c r="B864" s="3"/>
    </row>
    <row r="865" spans="1:2" x14ac:dyDescent="0.3">
      <c r="A865" s="4"/>
      <c r="B865" s="3"/>
    </row>
    <row r="866" spans="1:2" x14ac:dyDescent="0.3">
      <c r="A866" s="4"/>
      <c r="B866" s="3"/>
    </row>
    <row r="867" spans="1:2" x14ac:dyDescent="0.3">
      <c r="A867" s="4"/>
      <c r="B867" s="3"/>
    </row>
    <row r="868" spans="1:2" x14ac:dyDescent="0.3">
      <c r="A868" s="4"/>
      <c r="B868" s="3"/>
    </row>
    <row r="869" spans="1:2" x14ac:dyDescent="0.3">
      <c r="A869" s="4"/>
      <c r="B869" s="3"/>
    </row>
    <row r="870" spans="1:2" x14ac:dyDescent="0.3">
      <c r="A870" s="4"/>
      <c r="B870" s="3"/>
    </row>
    <row r="871" spans="1:2" x14ac:dyDescent="0.3">
      <c r="A871" s="4"/>
      <c r="B871" s="3"/>
    </row>
    <row r="872" spans="1:2" x14ac:dyDescent="0.3">
      <c r="A872" s="4"/>
      <c r="B872" s="3"/>
    </row>
    <row r="873" spans="1:2" x14ac:dyDescent="0.3">
      <c r="A873" s="4"/>
      <c r="B873" s="3"/>
    </row>
    <row r="874" spans="1:2" x14ac:dyDescent="0.3">
      <c r="A874" s="4"/>
      <c r="B874" s="3"/>
    </row>
    <row r="875" spans="1:2" x14ac:dyDescent="0.3">
      <c r="A875" s="4"/>
      <c r="B875" s="3"/>
    </row>
    <row r="876" spans="1:2" x14ac:dyDescent="0.3">
      <c r="A876" s="4"/>
      <c r="B876" s="3"/>
    </row>
    <row r="877" spans="1:2" x14ac:dyDescent="0.3">
      <c r="A877" s="4"/>
      <c r="B877" s="3"/>
    </row>
    <row r="878" spans="1:2" x14ac:dyDescent="0.3">
      <c r="A878" s="4"/>
      <c r="B878" s="3"/>
    </row>
    <row r="879" spans="1:2" x14ac:dyDescent="0.3">
      <c r="A879" s="4"/>
      <c r="B879" s="3"/>
    </row>
    <row r="880" spans="1:2" x14ac:dyDescent="0.3">
      <c r="A880" s="4"/>
      <c r="B880" s="3"/>
    </row>
    <row r="881" spans="1:2" x14ac:dyDescent="0.3">
      <c r="A881" s="4"/>
      <c r="B881" s="3"/>
    </row>
    <row r="882" spans="1:2" x14ac:dyDescent="0.3">
      <c r="A882" s="4"/>
      <c r="B882" s="3"/>
    </row>
    <row r="883" spans="1:2" x14ac:dyDescent="0.3">
      <c r="A883" s="4"/>
      <c r="B883" s="3"/>
    </row>
    <row r="884" spans="1:2" x14ac:dyDescent="0.3">
      <c r="A884" s="4"/>
      <c r="B884" s="3"/>
    </row>
    <row r="885" spans="1:2" x14ac:dyDescent="0.3">
      <c r="A885" s="4"/>
      <c r="B885" s="3"/>
    </row>
    <row r="886" spans="1:2" x14ac:dyDescent="0.3">
      <c r="A886" s="4"/>
      <c r="B886" s="3"/>
    </row>
    <row r="887" spans="1:2" x14ac:dyDescent="0.3">
      <c r="A887" s="4"/>
      <c r="B887" s="3"/>
    </row>
    <row r="888" spans="1:2" x14ac:dyDescent="0.3">
      <c r="A888" s="4"/>
      <c r="B888" s="3"/>
    </row>
    <row r="889" spans="1:2" x14ac:dyDescent="0.3">
      <c r="A889" s="4"/>
      <c r="B889" s="3"/>
    </row>
    <row r="890" spans="1:2" x14ac:dyDescent="0.3">
      <c r="A890" s="4"/>
      <c r="B890" s="3"/>
    </row>
    <row r="891" spans="1:2" x14ac:dyDescent="0.3">
      <c r="A891" s="4"/>
      <c r="B891" s="3"/>
    </row>
    <row r="892" spans="1:2" x14ac:dyDescent="0.3">
      <c r="A892" s="4"/>
      <c r="B892" s="3"/>
    </row>
    <row r="893" spans="1:2" x14ac:dyDescent="0.3">
      <c r="A893" s="4"/>
      <c r="B893" s="3"/>
    </row>
    <row r="894" spans="1:2" x14ac:dyDescent="0.3">
      <c r="A894" s="4"/>
      <c r="B894" s="3"/>
    </row>
    <row r="895" spans="1:2" x14ac:dyDescent="0.3">
      <c r="A895" s="4"/>
      <c r="B895" s="3"/>
    </row>
    <row r="896" spans="1:2" x14ac:dyDescent="0.3">
      <c r="A896" s="4"/>
      <c r="B896" s="3"/>
    </row>
    <row r="897" spans="1:2" x14ac:dyDescent="0.3">
      <c r="A897" s="4"/>
      <c r="B897" s="3"/>
    </row>
    <row r="898" spans="1:2" x14ac:dyDescent="0.3">
      <c r="A898" s="4"/>
      <c r="B898" s="3"/>
    </row>
    <row r="899" spans="1:2" x14ac:dyDescent="0.3">
      <c r="A899" s="4"/>
      <c r="B899" s="3"/>
    </row>
    <row r="900" spans="1:2" x14ac:dyDescent="0.3">
      <c r="A900" s="4"/>
      <c r="B900" s="3"/>
    </row>
    <row r="901" spans="1:2" x14ac:dyDescent="0.3">
      <c r="A901" s="4"/>
      <c r="B901" s="3"/>
    </row>
    <row r="902" spans="1:2" x14ac:dyDescent="0.3">
      <c r="A902" s="4"/>
      <c r="B902" s="3"/>
    </row>
    <row r="903" spans="1:2" x14ac:dyDescent="0.3">
      <c r="A903" s="4"/>
      <c r="B903" s="3"/>
    </row>
    <row r="904" spans="1:2" x14ac:dyDescent="0.3">
      <c r="A904" s="4"/>
      <c r="B904" s="3"/>
    </row>
    <row r="905" spans="1:2" x14ac:dyDescent="0.3">
      <c r="A905" s="4"/>
      <c r="B905" s="3"/>
    </row>
    <row r="906" spans="1:2" x14ac:dyDescent="0.3">
      <c r="A906" s="4"/>
      <c r="B906" s="3"/>
    </row>
    <row r="907" spans="1:2" x14ac:dyDescent="0.3">
      <c r="A907" s="4"/>
      <c r="B907" s="3"/>
    </row>
    <row r="908" spans="1:2" x14ac:dyDescent="0.3">
      <c r="A908" s="4"/>
      <c r="B908" s="3"/>
    </row>
    <row r="909" spans="1:2" x14ac:dyDescent="0.3">
      <c r="A909" s="4"/>
      <c r="B909" s="3"/>
    </row>
    <row r="910" spans="1:2" x14ac:dyDescent="0.3">
      <c r="A910" s="4"/>
      <c r="B910" s="3"/>
    </row>
    <row r="911" spans="1:2" x14ac:dyDescent="0.3">
      <c r="A911" s="4"/>
      <c r="B911" s="3"/>
    </row>
    <row r="912" spans="1:2" x14ac:dyDescent="0.3">
      <c r="A912" s="4"/>
      <c r="B912" s="3"/>
    </row>
    <row r="913" spans="1:2" x14ac:dyDescent="0.3">
      <c r="A913" s="4"/>
      <c r="B913" s="3"/>
    </row>
    <row r="914" spans="1:2" x14ac:dyDescent="0.3">
      <c r="A914" s="4"/>
      <c r="B914" s="3"/>
    </row>
    <row r="915" spans="1:2" x14ac:dyDescent="0.3">
      <c r="A915" s="4"/>
      <c r="B915" s="3"/>
    </row>
    <row r="916" spans="1:2" x14ac:dyDescent="0.3">
      <c r="A916" s="4"/>
      <c r="B916" s="3"/>
    </row>
    <row r="917" spans="1:2" x14ac:dyDescent="0.3">
      <c r="A917" s="4"/>
      <c r="B917" s="3"/>
    </row>
    <row r="918" spans="1:2" x14ac:dyDescent="0.3">
      <c r="A918" s="4"/>
      <c r="B918" s="3"/>
    </row>
    <row r="919" spans="1:2" x14ac:dyDescent="0.3">
      <c r="A919" s="4"/>
      <c r="B919" s="3"/>
    </row>
    <row r="920" spans="1:2" x14ac:dyDescent="0.3">
      <c r="A920" s="4"/>
      <c r="B920" s="3"/>
    </row>
    <row r="921" spans="1:2" x14ac:dyDescent="0.3">
      <c r="A921" s="4"/>
      <c r="B921" s="3"/>
    </row>
    <row r="922" spans="1:2" x14ac:dyDescent="0.3">
      <c r="A922" s="4"/>
      <c r="B922" s="3"/>
    </row>
    <row r="923" spans="1:2" x14ac:dyDescent="0.3">
      <c r="A923" s="4"/>
      <c r="B923" s="3"/>
    </row>
    <row r="924" spans="1:2" x14ac:dyDescent="0.3">
      <c r="A924" s="4"/>
      <c r="B924" s="3"/>
    </row>
    <row r="925" spans="1:2" x14ac:dyDescent="0.3">
      <c r="A925" s="4"/>
      <c r="B925" s="3"/>
    </row>
    <row r="926" spans="1:2" x14ac:dyDescent="0.3">
      <c r="A926" s="4"/>
      <c r="B926" s="3"/>
    </row>
    <row r="927" spans="1:2" x14ac:dyDescent="0.3">
      <c r="A927" s="4"/>
      <c r="B927" s="3"/>
    </row>
    <row r="928" spans="1:2" x14ac:dyDescent="0.3">
      <c r="A928" s="4"/>
      <c r="B928" s="3"/>
    </row>
    <row r="929" spans="1:2" x14ac:dyDescent="0.3">
      <c r="A929" s="4"/>
      <c r="B929" s="3"/>
    </row>
    <row r="930" spans="1:2" x14ac:dyDescent="0.3">
      <c r="A930" s="4"/>
      <c r="B930" s="3"/>
    </row>
    <row r="931" spans="1:2" x14ac:dyDescent="0.3">
      <c r="A931" s="4"/>
      <c r="B931" s="3"/>
    </row>
    <row r="932" spans="1:2" x14ac:dyDescent="0.3">
      <c r="A932" s="4"/>
      <c r="B932" s="3"/>
    </row>
    <row r="933" spans="1:2" x14ac:dyDescent="0.3">
      <c r="A933" s="4"/>
      <c r="B933" s="3"/>
    </row>
    <row r="934" spans="1:2" x14ac:dyDescent="0.3">
      <c r="A934" s="4"/>
      <c r="B934" s="3"/>
    </row>
    <row r="935" spans="1:2" x14ac:dyDescent="0.3">
      <c r="A935" s="4"/>
      <c r="B935" s="3"/>
    </row>
    <row r="936" spans="1:2" x14ac:dyDescent="0.3">
      <c r="A936" s="4"/>
      <c r="B936" s="3"/>
    </row>
    <row r="937" spans="1:2" x14ac:dyDescent="0.3">
      <c r="A937" s="4"/>
      <c r="B937" s="3"/>
    </row>
    <row r="938" spans="1:2" x14ac:dyDescent="0.3">
      <c r="A938" s="4"/>
      <c r="B938" s="3"/>
    </row>
    <row r="939" spans="1:2" x14ac:dyDescent="0.3">
      <c r="A939" s="4"/>
      <c r="B939" s="3"/>
    </row>
    <row r="940" spans="1:2" x14ac:dyDescent="0.3">
      <c r="A940" s="4"/>
      <c r="B940" s="3"/>
    </row>
    <row r="941" spans="1:2" x14ac:dyDescent="0.3">
      <c r="A941" s="4"/>
      <c r="B941" s="3"/>
    </row>
    <row r="942" spans="1:2" x14ac:dyDescent="0.3">
      <c r="A942" s="4"/>
      <c r="B942" s="3"/>
    </row>
    <row r="943" spans="1:2" x14ac:dyDescent="0.3">
      <c r="A943" s="4"/>
      <c r="B943" s="3"/>
    </row>
    <row r="944" spans="1:2" x14ac:dyDescent="0.3">
      <c r="A944" s="4"/>
      <c r="B944" s="3"/>
    </row>
    <row r="945" spans="1:2" x14ac:dyDescent="0.3">
      <c r="A945" s="4"/>
      <c r="B945" s="3"/>
    </row>
    <row r="946" spans="1:2" x14ac:dyDescent="0.3">
      <c r="A946" s="4"/>
      <c r="B946" s="3"/>
    </row>
    <row r="947" spans="1:2" x14ac:dyDescent="0.3">
      <c r="A947" s="4"/>
      <c r="B947" s="3"/>
    </row>
    <row r="948" spans="1:2" x14ac:dyDescent="0.3">
      <c r="A948" s="4"/>
      <c r="B948" s="3"/>
    </row>
    <row r="949" spans="1:2" x14ac:dyDescent="0.3">
      <c r="A949" s="4"/>
      <c r="B949" s="3"/>
    </row>
    <row r="950" spans="1:2" x14ac:dyDescent="0.3">
      <c r="A950" s="4"/>
      <c r="B950" s="3"/>
    </row>
    <row r="951" spans="1:2" x14ac:dyDescent="0.3">
      <c r="A951" s="4"/>
      <c r="B951" s="3"/>
    </row>
    <row r="952" spans="1:2" x14ac:dyDescent="0.3">
      <c r="A952" s="4"/>
      <c r="B952" s="3"/>
    </row>
    <row r="953" spans="1:2" x14ac:dyDescent="0.3">
      <c r="A953" s="4"/>
      <c r="B953" s="3"/>
    </row>
    <row r="954" spans="1:2" x14ac:dyDescent="0.3">
      <c r="A954" s="4"/>
      <c r="B954" s="3"/>
    </row>
    <row r="955" spans="1:2" x14ac:dyDescent="0.3">
      <c r="A955" s="4"/>
      <c r="B955" s="3"/>
    </row>
    <row r="956" spans="1:2" x14ac:dyDescent="0.3">
      <c r="A956" s="4"/>
      <c r="B956" s="3"/>
    </row>
    <row r="957" spans="1:2" x14ac:dyDescent="0.3">
      <c r="A957" s="4"/>
      <c r="B957" s="3"/>
    </row>
    <row r="958" spans="1:2" x14ac:dyDescent="0.3">
      <c r="A958" s="4"/>
      <c r="B958" s="3"/>
    </row>
    <row r="959" spans="1:2" x14ac:dyDescent="0.3">
      <c r="A959" s="4"/>
      <c r="B959" s="3"/>
    </row>
    <row r="960" spans="1:2" x14ac:dyDescent="0.3">
      <c r="A960" s="4"/>
      <c r="B960" s="3"/>
    </row>
    <row r="961" spans="1:2" x14ac:dyDescent="0.3">
      <c r="A961" s="4"/>
      <c r="B961" s="3"/>
    </row>
    <row r="962" spans="1:2" x14ac:dyDescent="0.3">
      <c r="A962" s="4"/>
      <c r="B962" s="3"/>
    </row>
    <row r="963" spans="1:2" x14ac:dyDescent="0.3">
      <c r="A963" s="4"/>
      <c r="B963" s="3"/>
    </row>
    <row r="964" spans="1:2" x14ac:dyDescent="0.3">
      <c r="A964" s="4"/>
      <c r="B964" s="3"/>
    </row>
    <row r="965" spans="1:2" x14ac:dyDescent="0.3">
      <c r="A965" s="4"/>
      <c r="B965" s="3"/>
    </row>
    <row r="966" spans="1:2" x14ac:dyDescent="0.3">
      <c r="A966" s="4"/>
      <c r="B966" s="3"/>
    </row>
    <row r="967" spans="1:2" x14ac:dyDescent="0.3">
      <c r="A967" s="4"/>
      <c r="B967" s="3"/>
    </row>
    <row r="968" spans="1:2" x14ac:dyDescent="0.3">
      <c r="A968" s="4"/>
      <c r="B968" s="3"/>
    </row>
    <row r="969" spans="1:2" x14ac:dyDescent="0.3">
      <c r="A969" s="4"/>
      <c r="B969" s="3"/>
    </row>
    <row r="970" spans="1:2" x14ac:dyDescent="0.3">
      <c r="A970" s="4"/>
      <c r="B970" s="3"/>
    </row>
    <row r="971" spans="1:2" x14ac:dyDescent="0.3">
      <c r="A971" s="4"/>
      <c r="B971" s="3"/>
    </row>
    <row r="972" spans="1:2" x14ac:dyDescent="0.3">
      <c r="A972" s="4"/>
      <c r="B972" s="3"/>
    </row>
    <row r="973" spans="1:2" x14ac:dyDescent="0.3">
      <c r="A973" s="4"/>
      <c r="B973" s="3"/>
    </row>
    <row r="974" spans="1:2" x14ac:dyDescent="0.3">
      <c r="A974" s="4"/>
      <c r="B974" s="3"/>
    </row>
    <row r="975" spans="1:2" x14ac:dyDescent="0.3">
      <c r="A975" s="4"/>
      <c r="B975" s="3"/>
    </row>
    <row r="976" spans="1:2" x14ac:dyDescent="0.3">
      <c r="A976" s="4"/>
      <c r="B976" s="3"/>
    </row>
    <row r="977" spans="1:2" x14ac:dyDescent="0.3">
      <c r="A977" s="4"/>
      <c r="B977" s="3"/>
    </row>
    <row r="978" spans="1:2" x14ac:dyDescent="0.3">
      <c r="A978" s="4"/>
      <c r="B978" s="3"/>
    </row>
    <row r="979" spans="1:2" x14ac:dyDescent="0.3">
      <c r="A979" s="4"/>
      <c r="B979" s="3"/>
    </row>
    <row r="980" spans="1:2" x14ac:dyDescent="0.3">
      <c r="A980" s="4"/>
      <c r="B980" s="3"/>
    </row>
    <row r="981" spans="1:2" x14ac:dyDescent="0.3">
      <c r="A981" s="4"/>
      <c r="B981" s="3"/>
    </row>
    <row r="982" spans="1:2" x14ac:dyDescent="0.3">
      <c r="A982" s="4"/>
      <c r="B982" s="3"/>
    </row>
    <row r="983" spans="1:2" x14ac:dyDescent="0.3">
      <c r="A983" s="4"/>
      <c r="B983" s="3"/>
    </row>
    <row r="984" spans="1:2" x14ac:dyDescent="0.3">
      <c r="A984" s="4"/>
      <c r="B984" s="3"/>
    </row>
    <row r="985" spans="1:2" x14ac:dyDescent="0.3">
      <c r="A985" s="4"/>
      <c r="B985" s="3"/>
    </row>
    <row r="986" spans="1:2" x14ac:dyDescent="0.3">
      <c r="A986" s="4"/>
      <c r="B986" s="3"/>
    </row>
    <row r="987" spans="1:2" x14ac:dyDescent="0.3">
      <c r="A987" s="4"/>
      <c r="B987" s="3"/>
    </row>
    <row r="988" spans="1:2" x14ac:dyDescent="0.3">
      <c r="A988" s="4"/>
      <c r="B988" s="3"/>
    </row>
    <row r="989" spans="1:2" x14ac:dyDescent="0.3">
      <c r="A989" s="4"/>
      <c r="B989" s="3"/>
    </row>
    <row r="990" spans="1:2" x14ac:dyDescent="0.3">
      <c r="A990" s="4"/>
      <c r="B990" s="3"/>
    </row>
    <row r="991" spans="1:2" x14ac:dyDescent="0.3">
      <c r="A991" s="4"/>
      <c r="B991" s="3"/>
    </row>
    <row r="992" spans="1:2" x14ac:dyDescent="0.3">
      <c r="A992" s="4"/>
      <c r="B992" s="3"/>
    </row>
    <row r="993" spans="1:2" x14ac:dyDescent="0.3">
      <c r="A993" s="4"/>
      <c r="B993" s="3"/>
    </row>
    <row r="994" spans="1:2" x14ac:dyDescent="0.3">
      <c r="A994" s="4"/>
      <c r="B994" s="3"/>
    </row>
    <row r="995" spans="1:2" x14ac:dyDescent="0.3">
      <c r="A995" s="4"/>
      <c r="B995" s="3"/>
    </row>
    <row r="996" spans="1:2" x14ac:dyDescent="0.3">
      <c r="A996" s="4"/>
      <c r="B996" s="3"/>
    </row>
    <row r="997" spans="1:2" x14ac:dyDescent="0.3">
      <c r="A997" s="4"/>
      <c r="B997" s="3"/>
    </row>
    <row r="998" spans="1:2" x14ac:dyDescent="0.3">
      <c r="A998" s="4"/>
      <c r="B998" s="3"/>
    </row>
    <row r="999" spans="1:2" x14ac:dyDescent="0.3">
      <c r="A999" s="4"/>
      <c r="B999" s="3"/>
    </row>
    <row r="1000" spans="1:2" x14ac:dyDescent="0.3">
      <c r="A1000" s="4"/>
      <c r="B1000" s="3"/>
    </row>
    <row r="1001" spans="1:2" x14ac:dyDescent="0.3">
      <c r="A1001" s="4"/>
      <c r="B1001" s="3"/>
    </row>
    <row r="1002" spans="1:2" x14ac:dyDescent="0.3">
      <c r="A1002" s="4"/>
      <c r="B1002" s="3"/>
    </row>
    <row r="1003" spans="1:2" x14ac:dyDescent="0.3">
      <c r="A1003" s="4"/>
      <c r="B1003" s="3"/>
    </row>
    <row r="1004" spans="1:2" x14ac:dyDescent="0.3">
      <c r="A1004" s="4"/>
      <c r="B1004" s="3"/>
    </row>
    <row r="1005" spans="1:2" x14ac:dyDescent="0.3">
      <c r="A1005" s="4"/>
      <c r="B1005" s="3"/>
    </row>
    <row r="1006" spans="1:2" x14ac:dyDescent="0.3">
      <c r="A1006" s="4"/>
      <c r="B1006" s="3"/>
    </row>
    <row r="1007" spans="1:2" x14ac:dyDescent="0.3">
      <c r="A1007" s="2"/>
      <c r="B1007" s="1"/>
    </row>
  </sheetData>
  <mergeCells count="7">
    <mergeCell ref="A28:B28"/>
    <mergeCell ref="A1:B1"/>
    <mergeCell ref="A10:B10"/>
    <mergeCell ref="A11:B11"/>
    <mergeCell ref="A17:B17"/>
    <mergeCell ref="A18:B18"/>
    <mergeCell ref="A27:B2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94050-91E2-4D34-85AD-00364EB2DE1D}">
  <sheetPr>
    <tabColor theme="5" tint="-0.499984740745262"/>
  </sheetPr>
  <dimension ref="A1:D49"/>
  <sheetViews>
    <sheetView zoomScale="70" zoomScaleNormal="70" workbookViewId="0">
      <selection activeCell="B21" sqref="B21"/>
    </sheetView>
  </sheetViews>
  <sheetFormatPr defaultRowHeight="14.4" x14ac:dyDescent="0.3"/>
  <cols>
    <col min="1" max="1" width="24.21875" bestFit="1" customWidth="1"/>
    <col min="2" max="2" width="245" customWidth="1"/>
  </cols>
  <sheetData>
    <row r="1" spans="1:4" ht="21.6" thickBot="1" x14ac:dyDescent="0.35">
      <c r="A1" s="56" t="s">
        <v>130</v>
      </c>
      <c r="B1" s="57"/>
      <c r="D1" t="s">
        <v>131</v>
      </c>
    </row>
    <row r="2" spans="1:4" ht="15" thickBot="1" x14ac:dyDescent="0.35">
      <c r="A2" s="58"/>
      <c r="B2" s="59"/>
    </row>
    <row r="3" spans="1:4" ht="15" thickBot="1" x14ac:dyDescent="0.35">
      <c r="A3" s="29" t="s">
        <v>132</v>
      </c>
      <c r="B3" s="30" t="s">
        <v>133</v>
      </c>
    </row>
    <row r="4" spans="1:4" ht="15" thickBot="1" x14ac:dyDescent="0.35">
      <c r="A4" s="31" t="s">
        <v>134</v>
      </c>
      <c r="B4" s="32" t="s">
        <v>135</v>
      </c>
    </row>
    <row r="5" spans="1:4" ht="15" thickBot="1" x14ac:dyDescent="0.35">
      <c r="A5" s="31" t="s">
        <v>136</v>
      </c>
      <c r="B5" s="32" t="s">
        <v>137</v>
      </c>
    </row>
    <row r="6" spans="1:4" ht="15" thickBot="1" x14ac:dyDescent="0.35">
      <c r="A6" s="31" t="s">
        <v>138</v>
      </c>
      <c r="B6" s="32" t="s">
        <v>139</v>
      </c>
    </row>
    <row r="7" spans="1:4" ht="15" thickBot="1" x14ac:dyDescent="0.35">
      <c r="A7" s="31" t="s">
        <v>140</v>
      </c>
      <c r="B7" s="32" t="s">
        <v>141</v>
      </c>
    </row>
    <row r="8" spans="1:4" ht="15" thickBot="1" x14ac:dyDescent="0.35">
      <c r="A8" s="54"/>
      <c r="B8" s="55"/>
    </row>
    <row r="9" spans="1:4" ht="15" thickBot="1" x14ac:dyDescent="0.35">
      <c r="A9" s="29" t="s">
        <v>63</v>
      </c>
      <c r="B9" s="30" t="s">
        <v>142</v>
      </c>
    </row>
    <row r="10" spans="1:4" ht="15" thickBot="1" x14ac:dyDescent="0.35">
      <c r="A10" s="31" t="s">
        <v>35</v>
      </c>
      <c r="B10" s="32" t="s">
        <v>143</v>
      </c>
    </row>
    <row r="11" spans="1:4" ht="15" thickBot="1" x14ac:dyDescent="0.35">
      <c r="A11" s="31" t="s">
        <v>144</v>
      </c>
      <c r="B11" s="32" t="s">
        <v>145</v>
      </c>
    </row>
    <row r="12" spans="1:4" ht="15" thickBot="1" x14ac:dyDescent="0.35">
      <c r="A12" s="31" t="s">
        <v>146</v>
      </c>
      <c r="B12" s="32" t="s">
        <v>147</v>
      </c>
    </row>
    <row r="13" spans="1:4" ht="15" thickBot="1" x14ac:dyDescent="0.35">
      <c r="A13" s="54"/>
      <c r="B13" s="55"/>
    </row>
    <row r="14" spans="1:4" ht="15" thickBot="1" x14ac:dyDescent="0.35">
      <c r="A14" s="29" t="s">
        <v>53</v>
      </c>
      <c r="B14" s="30" t="s">
        <v>148</v>
      </c>
    </row>
    <row r="15" spans="1:4" ht="15" thickBot="1" x14ac:dyDescent="0.35">
      <c r="A15" s="31" t="s">
        <v>13</v>
      </c>
      <c r="B15" s="32" t="s">
        <v>149</v>
      </c>
    </row>
    <row r="16" spans="1:4" ht="15" thickBot="1" x14ac:dyDescent="0.35">
      <c r="A16" s="31" t="s">
        <v>150</v>
      </c>
      <c r="B16" s="32" t="s">
        <v>151</v>
      </c>
    </row>
    <row r="17" spans="1:2" ht="15" thickBot="1" x14ac:dyDescent="0.35">
      <c r="A17" s="31" t="s">
        <v>27</v>
      </c>
      <c r="B17" s="32" t="s">
        <v>152</v>
      </c>
    </row>
    <row r="18" spans="1:2" ht="15" thickBot="1" x14ac:dyDescent="0.35">
      <c r="A18" s="31" t="s">
        <v>153</v>
      </c>
      <c r="B18" s="32" t="s">
        <v>154</v>
      </c>
    </row>
    <row r="19" spans="1:2" ht="15" thickBot="1" x14ac:dyDescent="0.35">
      <c r="A19" s="31" t="s">
        <v>46</v>
      </c>
      <c r="B19" s="32" t="s">
        <v>155</v>
      </c>
    </row>
    <row r="20" spans="1:2" ht="15" thickBot="1" x14ac:dyDescent="0.35">
      <c r="A20" s="31" t="s">
        <v>44</v>
      </c>
      <c r="B20" s="32" t="s">
        <v>156</v>
      </c>
    </row>
    <row r="21" spans="1:2" ht="15" thickBot="1" x14ac:dyDescent="0.35">
      <c r="A21" s="31" t="s">
        <v>42</v>
      </c>
      <c r="B21" s="32" t="s">
        <v>157</v>
      </c>
    </row>
    <row r="22" spans="1:2" ht="27" thickBot="1" x14ac:dyDescent="0.35">
      <c r="A22" s="31" t="s">
        <v>158</v>
      </c>
      <c r="B22" s="28" t="s">
        <v>159</v>
      </c>
    </row>
    <row r="23" spans="1:2" ht="15" thickBot="1" x14ac:dyDescent="0.35">
      <c r="A23" s="54"/>
      <c r="B23" s="55"/>
    </row>
    <row r="24" spans="1:2" ht="15" thickBot="1" x14ac:dyDescent="0.35">
      <c r="A24" s="60" t="s">
        <v>36</v>
      </c>
      <c r="B24" s="61"/>
    </row>
    <row r="25" spans="1:2" ht="15" thickBot="1" x14ac:dyDescent="0.35">
      <c r="A25" s="31" t="s">
        <v>160</v>
      </c>
      <c r="B25" s="32" t="s">
        <v>161</v>
      </c>
    </row>
    <row r="26" spans="1:2" ht="15" thickBot="1" x14ac:dyDescent="0.35">
      <c r="A26" s="31" t="s">
        <v>162</v>
      </c>
      <c r="B26" s="32" t="s">
        <v>163</v>
      </c>
    </row>
    <row r="27" spans="1:2" ht="15" thickBot="1" x14ac:dyDescent="0.35">
      <c r="A27" s="31" t="s">
        <v>164</v>
      </c>
      <c r="B27" s="32" t="s">
        <v>165</v>
      </c>
    </row>
    <row r="28" spans="1:2" ht="15" thickBot="1" x14ac:dyDescent="0.35">
      <c r="A28" s="31" t="s">
        <v>166</v>
      </c>
      <c r="B28" s="32" t="s">
        <v>167</v>
      </c>
    </row>
    <row r="29" spans="1:2" ht="15" thickBot="1" x14ac:dyDescent="0.35">
      <c r="A29" s="31" t="s">
        <v>168</v>
      </c>
      <c r="B29" s="32" t="s">
        <v>169</v>
      </c>
    </row>
    <row r="30" spans="1:2" ht="15" thickBot="1" x14ac:dyDescent="0.35">
      <c r="A30" s="54"/>
      <c r="B30" s="55"/>
    </row>
    <row r="31" spans="1:2" ht="21.6" thickBot="1" x14ac:dyDescent="0.35">
      <c r="A31" s="56" t="s">
        <v>170</v>
      </c>
      <c r="B31" s="57"/>
    </row>
    <row r="32" spans="1:2" ht="15" thickBot="1" x14ac:dyDescent="0.35">
      <c r="A32" s="31" t="s">
        <v>171</v>
      </c>
      <c r="B32" s="32" t="s">
        <v>172</v>
      </c>
    </row>
    <row r="33" spans="1:2" ht="15" thickBot="1" x14ac:dyDescent="0.35">
      <c r="A33" s="31" t="s">
        <v>5</v>
      </c>
      <c r="B33" s="32" t="s">
        <v>173</v>
      </c>
    </row>
    <row r="34" spans="1:2" ht="15" thickBot="1" x14ac:dyDescent="0.35">
      <c r="A34" s="31" t="s">
        <v>174</v>
      </c>
      <c r="B34" s="32" t="s">
        <v>175</v>
      </c>
    </row>
    <row r="35" spans="1:2" ht="15" thickBot="1" x14ac:dyDescent="0.35">
      <c r="A35" s="31" t="s">
        <v>176</v>
      </c>
      <c r="B35" s="32" t="s">
        <v>177</v>
      </c>
    </row>
    <row r="36" spans="1:2" ht="15" thickBot="1" x14ac:dyDescent="0.35">
      <c r="A36" s="31" t="s">
        <v>178</v>
      </c>
      <c r="B36" s="32" t="s">
        <v>179</v>
      </c>
    </row>
    <row r="37" spans="1:2" ht="15" thickBot="1" x14ac:dyDescent="0.35">
      <c r="A37" s="31" t="s">
        <v>180</v>
      </c>
      <c r="B37" s="32" t="s">
        <v>181</v>
      </c>
    </row>
    <row r="38" spans="1:2" ht="15" thickBot="1" x14ac:dyDescent="0.35">
      <c r="A38" s="31" t="s">
        <v>182</v>
      </c>
      <c r="B38" s="32" t="s">
        <v>183</v>
      </c>
    </row>
    <row r="39" spans="1:2" ht="15" thickBot="1" x14ac:dyDescent="0.35">
      <c r="A39" s="31" t="s">
        <v>184</v>
      </c>
      <c r="B39" s="32" t="s">
        <v>185</v>
      </c>
    </row>
    <row r="40" spans="1:2" ht="15" thickBot="1" x14ac:dyDescent="0.35">
      <c r="A40" s="31" t="s">
        <v>186</v>
      </c>
      <c r="B40" s="32" t="s">
        <v>187</v>
      </c>
    </row>
    <row r="41" spans="1:2" ht="15" thickBot="1" x14ac:dyDescent="0.35">
      <c r="A41" s="54"/>
      <c r="B41" s="55"/>
    </row>
    <row r="42" spans="1:2" ht="21.6" thickBot="1" x14ac:dyDescent="0.35">
      <c r="A42" s="56" t="s">
        <v>193</v>
      </c>
      <c r="B42" s="57"/>
    </row>
    <row r="43" spans="1:2" ht="15" thickBot="1" x14ac:dyDescent="0.35">
      <c r="A43" s="31" t="s">
        <v>188</v>
      </c>
      <c r="B43" s="32"/>
    </row>
    <row r="44" spans="1:2" ht="15" thickBot="1" x14ac:dyDescent="0.35">
      <c r="A44" s="31" t="s">
        <v>194</v>
      </c>
      <c r="B44" s="32"/>
    </row>
    <row r="45" spans="1:2" ht="15" thickBot="1" x14ac:dyDescent="0.35">
      <c r="A45" s="31" t="s">
        <v>189</v>
      </c>
      <c r="B45" s="32"/>
    </row>
    <row r="46" spans="1:2" ht="15" thickBot="1" x14ac:dyDescent="0.35">
      <c r="A46" s="31" t="s">
        <v>190</v>
      </c>
      <c r="B46" s="32"/>
    </row>
    <row r="47" spans="1:2" ht="15" thickBot="1" x14ac:dyDescent="0.35">
      <c r="A47" s="31" t="s">
        <v>191</v>
      </c>
      <c r="B47" s="32"/>
    </row>
    <row r="48" spans="1:2" ht="15" thickBot="1" x14ac:dyDescent="0.35">
      <c r="A48" s="31" t="s">
        <v>195</v>
      </c>
      <c r="B48" s="32"/>
    </row>
    <row r="49" spans="1:2" ht="15" thickBot="1" x14ac:dyDescent="0.35">
      <c r="A49" s="31" t="s">
        <v>192</v>
      </c>
      <c r="B49" s="32"/>
    </row>
  </sheetData>
  <mergeCells count="10">
    <mergeCell ref="A30:B30"/>
    <mergeCell ref="A31:B31"/>
    <mergeCell ref="A41:B41"/>
    <mergeCell ref="A42:B42"/>
    <mergeCell ref="A1:B1"/>
    <mergeCell ref="A2:B2"/>
    <mergeCell ref="A8:B8"/>
    <mergeCell ref="A13:B13"/>
    <mergeCell ref="A23:B23"/>
    <mergeCell ref="A24:B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WFM ANALYSIS</vt:lpstr>
      <vt:lpstr>WFM FORMULAS</vt:lpstr>
      <vt:lpstr>WFM CONCEPTS &amp; TERMINOLOGY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Himanshu Saxena</dc:creator>
  <cp:lastModifiedBy>Himanshu Saxena</cp:lastModifiedBy>
  <dcterms:created xsi:type="dcterms:W3CDTF">2025-05-19T04:00:39Z</dcterms:created>
  <dcterms:modified xsi:type="dcterms:W3CDTF">2025-07-26T12:35:36Z</dcterms:modified>
</cp:coreProperties>
</file>